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7\Desktop\"/>
    </mc:Choice>
  </mc:AlternateContent>
  <xr:revisionPtr revIDLastSave="0" documentId="13_ncr:1_{9B2073E3-D946-4A9B-9212-BE4BD6FD6F40}" xr6:coauthVersionLast="47" xr6:coauthVersionMax="47" xr10:uidLastSave="{00000000-0000-0000-0000-000000000000}"/>
  <bookViews>
    <workbookView xWindow="-110" yWindow="-110" windowWidth="25820" windowHeight="13900" xr2:uid="{4837377A-4A65-41F1-ABDD-0928AF859AC5}"/>
  </bookViews>
  <sheets>
    <sheet name="Sheet1" sheetId="1" r:id="rId1"/>
  </sheets>
  <definedNames>
    <definedName name="solver_adj" localSheetId="0" hidden="1">Sheet1!$D$119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Sheet1!$C$130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7" i="1" l="1"/>
  <c r="G133" i="1"/>
  <c r="G136" i="1"/>
  <c r="G131" i="1"/>
  <c r="G132" i="1"/>
  <c r="G134" i="1"/>
  <c r="G135" i="1"/>
  <c r="E131" i="1"/>
  <c r="E132" i="1"/>
  <c r="E133" i="1"/>
  <c r="E134" i="1"/>
  <c r="E135" i="1"/>
  <c r="E136" i="1"/>
  <c r="F129" i="1"/>
  <c r="G129" i="1"/>
  <c r="H129" i="1"/>
  <c r="I129" i="1"/>
  <c r="J129" i="1"/>
  <c r="K129" i="1"/>
  <c r="L129" i="1"/>
  <c r="M129" i="1"/>
  <c r="N129" i="1"/>
  <c r="E129" i="1"/>
  <c r="C131" i="1"/>
  <c r="C132" i="1"/>
  <c r="C133" i="1"/>
  <c r="C134" i="1"/>
  <c r="C135" i="1"/>
  <c r="C136" i="1"/>
  <c r="F128" i="1"/>
  <c r="G128" i="1"/>
  <c r="H128" i="1"/>
  <c r="I128" i="1"/>
  <c r="J128" i="1"/>
  <c r="K128" i="1"/>
  <c r="L128" i="1"/>
  <c r="M128" i="1"/>
  <c r="N128" i="1"/>
  <c r="E128" i="1"/>
  <c r="F127" i="1"/>
  <c r="G127" i="1"/>
  <c r="H127" i="1"/>
  <c r="I127" i="1"/>
  <c r="J127" i="1"/>
  <c r="K127" i="1"/>
  <c r="L127" i="1"/>
  <c r="M127" i="1"/>
  <c r="N127" i="1"/>
  <c r="E127" i="1"/>
  <c r="F126" i="1"/>
  <c r="G126" i="1"/>
  <c r="H126" i="1"/>
  <c r="I126" i="1"/>
  <c r="J126" i="1"/>
  <c r="K126" i="1"/>
  <c r="L126" i="1"/>
  <c r="M126" i="1"/>
  <c r="N126" i="1"/>
  <c r="E126" i="1"/>
  <c r="F125" i="1"/>
  <c r="G125" i="1"/>
  <c r="H125" i="1"/>
  <c r="I125" i="1"/>
  <c r="J125" i="1"/>
  <c r="K125" i="1"/>
  <c r="L125" i="1"/>
  <c r="M125" i="1"/>
  <c r="N125" i="1"/>
  <c r="E125" i="1"/>
  <c r="F124" i="1"/>
  <c r="G124" i="1"/>
  <c r="H124" i="1"/>
  <c r="I124" i="1"/>
  <c r="J124" i="1"/>
  <c r="K124" i="1"/>
  <c r="L124" i="1"/>
  <c r="M124" i="1"/>
  <c r="N124" i="1"/>
  <c r="E124" i="1"/>
  <c r="F123" i="1"/>
  <c r="G123" i="1"/>
  <c r="H123" i="1"/>
  <c r="I123" i="1"/>
  <c r="J123" i="1"/>
  <c r="K123" i="1"/>
  <c r="L123" i="1"/>
  <c r="M123" i="1"/>
  <c r="N123" i="1"/>
  <c r="E123" i="1"/>
  <c r="E119" i="1"/>
  <c r="F119" i="1"/>
  <c r="G119" i="1"/>
  <c r="H119" i="1"/>
  <c r="I119" i="1"/>
  <c r="J119" i="1"/>
  <c r="E117" i="1"/>
  <c r="F117" i="1"/>
  <c r="G117" i="1"/>
  <c r="H117" i="1"/>
  <c r="I117" i="1"/>
  <c r="J117" i="1"/>
  <c r="D117" i="1"/>
  <c r="F99" i="1"/>
  <c r="F100" i="1"/>
  <c r="F101" i="1"/>
  <c r="F102" i="1"/>
  <c r="F103" i="1"/>
  <c r="F104" i="1"/>
  <c r="F105" i="1"/>
  <c r="F106" i="1"/>
  <c r="D89" i="1"/>
  <c r="D90" i="1"/>
  <c r="D91" i="1"/>
  <c r="D92" i="1"/>
  <c r="D93" i="1"/>
  <c r="D94" i="1"/>
  <c r="D95" i="1"/>
  <c r="D96" i="1"/>
  <c r="D97" i="1"/>
  <c r="D88" i="1"/>
  <c r="G130" i="1" l="1"/>
  <c r="C130" i="1"/>
  <c r="E130" i="1" s="1"/>
  <c r="H34" i="1"/>
  <c r="I34" i="1"/>
  <c r="G34" i="1"/>
  <c r="F34" i="1"/>
  <c r="E35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E21" i="1"/>
  <c r="E23" i="1" s="1"/>
  <c r="E27" i="1" s="1"/>
  <c r="F10" i="1"/>
  <c r="G10" i="1"/>
  <c r="H10" i="1"/>
  <c r="I10" i="1"/>
  <c r="J10" i="1"/>
  <c r="K10" i="1"/>
  <c r="E10" i="1"/>
  <c r="E13" i="1" l="1"/>
  <c r="D57" i="1" s="1"/>
  <c r="D61" i="1" s="1"/>
  <c r="D62" i="1" s="1"/>
  <c r="E58" i="1"/>
  <c r="F27" i="1"/>
  <c r="E29" i="1"/>
  <c r="E46" i="1" s="1"/>
  <c r="E47" i="1" s="1"/>
  <c r="E51" i="1" s="1"/>
  <c r="E59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E82" i="1"/>
  <c r="E81" i="1"/>
  <c r="E78" i="1"/>
  <c r="E80" i="1"/>
  <c r="E79" i="1"/>
  <c r="E77" i="1"/>
  <c r="F77" i="1" s="1"/>
  <c r="G77" i="1" s="1"/>
  <c r="H77" i="1" s="1"/>
  <c r="I77" i="1" s="1"/>
  <c r="J77" i="1" s="1"/>
  <c r="K77" i="1" s="1"/>
  <c r="L77" i="1" s="1"/>
  <c r="M77" i="1" s="1"/>
  <c r="N77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E91" i="1" l="1"/>
  <c r="F80" i="1"/>
  <c r="G80" i="1" s="1"/>
  <c r="H80" i="1" s="1"/>
  <c r="I80" i="1" s="1"/>
  <c r="J80" i="1" s="1"/>
  <c r="K80" i="1" s="1"/>
  <c r="L80" i="1" s="1"/>
  <c r="M80" i="1" s="1"/>
  <c r="N80" i="1" s="1"/>
  <c r="E89" i="1"/>
  <c r="F78" i="1"/>
  <c r="G78" i="1" s="1"/>
  <c r="H78" i="1" s="1"/>
  <c r="I78" i="1" s="1"/>
  <c r="J78" i="1" s="1"/>
  <c r="K78" i="1" s="1"/>
  <c r="L78" i="1" s="1"/>
  <c r="M78" i="1" s="1"/>
  <c r="N78" i="1" s="1"/>
  <c r="E93" i="1"/>
  <c r="F82" i="1"/>
  <c r="E90" i="1"/>
  <c r="F79" i="1"/>
  <c r="G79" i="1" s="1"/>
  <c r="H79" i="1" s="1"/>
  <c r="I79" i="1" s="1"/>
  <c r="J79" i="1" s="1"/>
  <c r="K79" i="1" s="1"/>
  <c r="L79" i="1" s="1"/>
  <c r="M79" i="1" s="1"/>
  <c r="N79" i="1" s="1"/>
  <c r="E92" i="1"/>
  <c r="F81" i="1"/>
  <c r="G27" i="1"/>
  <c r="F29" i="1"/>
  <c r="F46" i="1" s="1"/>
  <c r="F47" i="1" s="1"/>
  <c r="F51" i="1" s="1"/>
  <c r="F59" i="1" s="1"/>
  <c r="F58" i="1"/>
  <c r="E96" i="1"/>
  <c r="E94" i="1"/>
  <c r="E97" i="1"/>
  <c r="E95" i="1"/>
  <c r="E88" i="1"/>
  <c r="E61" i="1"/>
  <c r="E62" i="1"/>
  <c r="F92" i="1" l="1"/>
  <c r="G81" i="1"/>
  <c r="H81" i="1" s="1"/>
  <c r="I81" i="1" s="1"/>
  <c r="J81" i="1" s="1"/>
  <c r="K81" i="1" s="1"/>
  <c r="L81" i="1" s="1"/>
  <c r="M81" i="1" s="1"/>
  <c r="N81" i="1" s="1"/>
  <c r="G29" i="1"/>
  <c r="G46" i="1" s="1"/>
  <c r="G47" i="1" s="1"/>
  <c r="G51" i="1" s="1"/>
  <c r="G59" i="1" s="1"/>
  <c r="H27" i="1"/>
  <c r="G58" i="1"/>
  <c r="F93" i="1"/>
  <c r="G82" i="1"/>
  <c r="H82" i="1" s="1"/>
  <c r="I82" i="1" s="1"/>
  <c r="J82" i="1" s="1"/>
  <c r="K82" i="1" s="1"/>
  <c r="L82" i="1" s="1"/>
  <c r="M82" i="1" s="1"/>
  <c r="N82" i="1" s="1"/>
  <c r="F88" i="1"/>
  <c r="F97" i="1"/>
  <c r="F95" i="1"/>
  <c r="F94" i="1"/>
  <c r="F96" i="1"/>
  <c r="F89" i="1"/>
  <c r="F90" i="1"/>
  <c r="F91" i="1"/>
  <c r="F61" i="1"/>
  <c r="F62" i="1" s="1"/>
  <c r="G88" i="1" l="1"/>
  <c r="G97" i="1"/>
  <c r="G95" i="1"/>
  <c r="G93" i="1"/>
  <c r="G96" i="1"/>
  <c r="G94" i="1"/>
  <c r="G92" i="1"/>
  <c r="G89" i="1"/>
  <c r="G91" i="1"/>
  <c r="G90" i="1"/>
  <c r="G61" i="1"/>
  <c r="I27" i="1"/>
  <c r="H58" i="1"/>
  <c r="H29" i="1"/>
  <c r="H46" i="1" s="1"/>
  <c r="H47" i="1" s="1"/>
  <c r="H51" i="1" s="1"/>
  <c r="H59" i="1" s="1"/>
  <c r="H88" i="1" l="1"/>
  <c r="H97" i="1"/>
  <c r="H96" i="1"/>
  <c r="H95" i="1"/>
  <c r="H93" i="1"/>
  <c r="H92" i="1"/>
  <c r="H94" i="1"/>
  <c r="H89" i="1"/>
  <c r="H91" i="1"/>
  <c r="H90" i="1"/>
  <c r="H61" i="1"/>
  <c r="G62" i="1"/>
  <c r="J27" i="1"/>
  <c r="I58" i="1"/>
  <c r="I29" i="1"/>
  <c r="I46" i="1" s="1"/>
  <c r="I47" i="1" s="1"/>
  <c r="I51" i="1" s="1"/>
  <c r="I59" i="1" s="1"/>
  <c r="D67" i="1"/>
  <c r="K27" i="1" l="1"/>
  <c r="J29" i="1"/>
  <c r="J46" i="1" s="1"/>
  <c r="J47" i="1" s="1"/>
  <c r="J51" i="1" s="1"/>
  <c r="J59" i="1" s="1"/>
  <c r="J58" i="1"/>
  <c r="H62" i="1"/>
  <c r="I88" i="1"/>
  <c r="I92" i="1"/>
  <c r="I97" i="1"/>
  <c r="I96" i="1"/>
  <c r="I95" i="1"/>
  <c r="I94" i="1"/>
  <c r="I93" i="1"/>
  <c r="I90" i="1"/>
  <c r="I89" i="1"/>
  <c r="I91" i="1"/>
  <c r="I61" i="1"/>
  <c r="I62" i="1" l="1"/>
  <c r="J88" i="1"/>
  <c r="J93" i="1"/>
  <c r="J97" i="1"/>
  <c r="J96" i="1"/>
  <c r="J95" i="1"/>
  <c r="J94" i="1"/>
  <c r="J92" i="1"/>
  <c r="J89" i="1"/>
  <c r="J91" i="1"/>
  <c r="J90" i="1"/>
  <c r="J61" i="1"/>
  <c r="J62" i="1" s="1"/>
  <c r="K29" i="1"/>
  <c r="K46" i="1" s="1"/>
  <c r="K47" i="1" s="1"/>
  <c r="K51" i="1" s="1"/>
  <c r="K59" i="1" s="1"/>
  <c r="L27" i="1"/>
  <c r="K58" i="1"/>
  <c r="L29" i="1" l="1"/>
  <c r="L46" i="1" s="1"/>
  <c r="L47" i="1" s="1"/>
  <c r="L51" i="1" s="1"/>
  <c r="L59" i="1" s="1"/>
  <c r="L58" i="1"/>
  <c r="M27" i="1"/>
  <c r="K88" i="1"/>
  <c r="K92" i="1"/>
  <c r="K97" i="1"/>
  <c r="K94" i="1"/>
  <c r="K93" i="1"/>
  <c r="K96" i="1"/>
  <c r="K95" i="1"/>
  <c r="K89" i="1"/>
  <c r="K91" i="1"/>
  <c r="K90" i="1"/>
  <c r="K61" i="1"/>
  <c r="K62" i="1" s="1"/>
  <c r="L88" i="1" l="1"/>
  <c r="L93" i="1"/>
  <c r="L97" i="1"/>
  <c r="L92" i="1"/>
  <c r="L96" i="1"/>
  <c r="L95" i="1"/>
  <c r="L94" i="1"/>
  <c r="L90" i="1"/>
  <c r="L89" i="1"/>
  <c r="L91" i="1"/>
  <c r="L61" i="1"/>
  <c r="L62" i="1" s="1"/>
  <c r="N27" i="1"/>
  <c r="M58" i="1"/>
  <c r="M29" i="1"/>
  <c r="M46" i="1" s="1"/>
  <c r="M47" i="1" s="1"/>
  <c r="M51" i="1" s="1"/>
  <c r="M59" i="1" s="1"/>
  <c r="N58" i="1" l="1"/>
  <c r="N29" i="1"/>
  <c r="N46" i="1" s="1"/>
  <c r="N47" i="1" s="1"/>
  <c r="N51" i="1" s="1"/>
  <c r="N59" i="1" s="1"/>
  <c r="M88" i="1"/>
  <c r="M97" i="1"/>
  <c r="M92" i="1"/>
  <c r="M96" i="1"/>
  <c r="M95" i="1"/>
  <c r="M94" i="1"/>
  <c r="M93" i="1"/>
  <c r="M91" i="1"/>
  <c r="M90" i="1"/>
  <c r="M89" i="1"/>
  <c r="M61" i="1"/>
  <c r="M62" i="1" s="1"/>
  <c r="N61" i="1" l="1"/>
  <c r="N94" i="1"/>
  <c r="C94" i="1" s="1"/>
  <c r="C104" i="1" s="1"/>
  <c r="N97" i="1"/>
  <c r="N88" i="1"/>
  <c r="N96" i="1"/>
  <c r="C96" i="1" s="1"/>
  <c r="C106" i="1" s="1"/>
  <c r="N95" i="1"/>
  <c r="C95" i="1" s="1"/>
  <c r="C105" i="1" s="1"/>
  <c r="N91" i="1"/>
  <c r="C91" i="1" s="1"/>
  <c r="C101" i="1" s="1"/>
  <c r="N90" i="1"/>
  <c r="C90" i="1" s="1"/>
  <c r="C100" i="1" s="1"/>
  <c r="N89" i="1"/>
  <c r="C89" i="1" s="1"/>
  <c r="C99" i="1" s="1"/>
  <c r="N92" i="1"/>
  <c r="C92" i="1" s="1"/>
  <c r="C102" i="1" s="1"/>
  <c r="N93" i="1"/>
  <c r="C93" i="1" s="1"/>
  <c r="C103" i="1" s="1"/>
  <c r="C107" i="1" l="1"/>
  <c r="F107" i="1"/>
  <c r="C88" i="1"/>
  <c r="C98" i="1" s="1"/>
  <c r="F98" i="1"/>
  <c r="D65" i="1"/>
  <c r="D64" i="1"/>
  <c r="D66" i="1" s="1"/>
  <c r="N62" i="1"/>
</calcChain>
</file>

<file path=xl/sharedStrings.xml><?xml version="1.0" encoding="utf-8"?>
<sst xmlns="http://schemas.openxmlformats.org/spreadsheetml/2006/main" count="74" uniqueCount="55">
  <si>
    <t>投资估算</t>
  </si>
  <si>
    <t>要素</t>
    <phoneticPr fontId="2" type="noConversion"/>
  </si>
  <si>
    <t>数量</t>
    <phoneticPr fontId="2" type="noConversion"/>
  </si>
  <si>
    <t>价格</t>
    <phoneticPr fontId="2" type="noConversion"/>
  </si>
  <si>
    <t>汇总要素</t>
    <phoneticPr fontId="2" type="noConversion"/>
  </si>
  <si>
    <t>店面</t>
    <phoneticPr fontId="2" type="noConversion"/>
  </si>
  <si>
    <t>电脑设施</t>
    <phoneticPr fontId="2" type="noConversion"/>
  </si>
  <si>
    <t>电竞椅</t>
    <phoneticPr fontId="2" type="noConversion"/>
  </si>
  <si>
    <t>装修</t>
    <phoneticPr fontId="2" type="noConversion"/>
  </si>
  <si>
    <t>服务器监控等设施</t>
  </si>
  <si>
    <t>安装工人工资</t>
    <phoneticPr fontId="2" type="noConversion"/>
  </si>
  <si>
    <t>其他</t>
    <phoneticPr fontId="2" type="noConversion"/>
  </si>
  <si>
    <t>总投资</t>
    <phoneticPr fontId="2" type="noConversion"/>
  </si>
  <si>
    <t>经营期收入</t>
    <phoneticPr fontId="2" type="noConversion"/>
  </si>
  <si>
    <t>日均顾客数量</t>
    <phoneticPr fontId="2" type="noConversion"/>
  </si>
  <si>
    <t>平均每位顾客上网时长</t>
    <phoneticPr fontId="2" type="noConversion"/>
  </si>
  <si>
    <t>每小时网费</t>
    <phoneticPr fontId="2" type="noConversion"/>
  </si>
  <si>
    <t>平均每位顾客饮食消费</t>
    <phoneticPr fontId="2" type="noConversion"/>
  </si>
  <si>
    <t>单位顾客消费</t>
    <phoneticPr fontId="2" type="noConversion"/>
  </si>
  <si>
    <t>首年营收</t>
  </si>
  <si>
    <t>年份</t>
    <phoneticPr fontId="2" type="noConversion"/>
  </si>
  <si>
    <t>年营收</t>
    <phoneticPr fontId="2" type="noConversion"/>
  </si>
  <si>
    <t>增长期，3%</t>
    <phoneticPr fontId="2" type="noConversion"/>
  </si>
  <si>
    <t>稳定期，0%</t>
    <phoneticPr fontId="2" type="noConversion"/>
  </si>
  <si>
    <t>衰退期，-10%</t>
    <phoneticPr fontId="2" type="noConversion"/>
  </si>
  <si>
    <t>需求数</t>
    <phoneticPr fontId="2" type="noConversion"/>
  </si>
  <si>
    <t>经营期成本估算</t>
  </si>
  <si>
    <t>固定成本</t>
    <phoneticPr fontId="2" type="noConversion"/>
  </si>
  <si>
    <t>房租</t>
    <phoneticPr fontId="2" type="noConversion"/>
  </si>
  <si>
    <t>网管工资</t>
    <phoneticPr fontId="2" type="noConversion"/>
  </si>
  <si>
    <t>清洁工工资</t>
    <phoneticPr fontId="2" type="noConversion"/>
  </si>
  <si>
    <t>宽带费用</t>
    <phoneticPr fontId="2" type="noConversion"/>
  </si>
  <si>
    <t>总固定成本</t>
    <phoneticPr fontId="2" type="noConversion"/>
  </si>
  <si>
    <t>变动成本</t>
    <phoneticPr fontId="2" type="noConversion"/>
  </si>
  <si>
    <t>需求</t>
    <phoneticPr fontId="2" type="noConversion"/>
  </si>
  <si>
    <t>总变动成本</t>
    <phoneticPr fontId="2" type="noConversion"/>
  </si>
  <si>
    <t>单位变动成本</t>
    <phoneticPr fontId="2" type="noConversion"/>
  </si>
  <si>
    <t>总成本</t>
  </si>
  <si>
    <t>项目投资经济性分析</t>
  </si>
  <si>
    <t>营业收入</t>
    <phoneticPr fontId="2" type="noConversion"/>
  </si>
  <si>
    <t>营业成本</t>
    <phoneticPr fontId="2" type="noConversion"/>
  </si>
  <si>
    <t>NCF</t>
    <phoneticPr fontId="2" type="noConversion"/>
  </si>
  <si>
    <t>NPV</t>
    <phoneticPr fontId="2" type="noConversion"/>
  </si>
  <si>
    <t>IRR</t>
    <phoneticPr fontId="2" type="noConversion"/>
  </si>
  <si>
    <t>敏感性分析</t>
  </si>
  <si>
    <t>基准收益率</t>
    <phoneticPr fontId="2" type="noConversion"/>
  </si>
  <si>
    <t>累计净现值</t>
    <phoneticPr fontId="2" type="noConversion"/>
  </si>
  <si>
    <t>NAV</t>
    <phoneticPr fontId="2" type="noConversion"/>
  </si>
  <si>
    <t>不确定性因素</t>
    <phoneticPr fontId="2" type="noConversion"/>
  </si>
  <si>
    <t>动态投资回收期</t>
    <phoneticPr fontId="2" type="noConversion"/>
  </si>
  <si>
    <t>日均需求</t>
    <phoneticPr fontId="2" type="noConversion"/>
  </si>
  <si>
    <t>人均消费</t>
    <phoneticPr fontId="2" type="noConversion"/>
  </si>
  <si>
    <t>房租变动率</t>
    <phoneticPr fontId="2" type="noConversion"/>
  </si>
  <si>
    <t>变化后的固定成本</t>
    <phoneticPr fontId="2" type="noConversion"/>
  </si>
  <si>
    <t>变化后的净现金流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</si>
</sst>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;[Red]&quot;¥&quot;\-#,##0.00"/>
    <numFmt numFmtId="44" formatCode="_ &quot;¥&quot;* #,##0.00_ ;_ &quot;¥&quot;* \-#,##0.00_ ;_ &quot;¥&quot;* &quot;-&quot;??_ ;_ @_ "/>
    <numFmt numFmtId="176" formatCode="0.00_);[Red]\(0.00\)"/>
    <numFmt numFmtId="177" formatCode="0.00000000%"/>
  </numFmts>
  <fonts count="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0" borderId="0" xfId="0" applyFont="1">
      <alignment vertical="center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9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8" fontId="5" fillId="0" borderId="0" xfId="0" applyNumberFormat="1" applyFont="1">
      <alignment vertical="center"/>
    </xf>
    <xf numFmtId="10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10" fontId="0" fillId="0" borderId="0" xfId="0" applyNumberFormat="1">
      <alignment vertical="center"/>
    </xf>
    <xf numFmtId="44" fontId="0" fillId="0" borderId="0" xfId="0" applyNumberFormat="1">
      <alignment vertical="center"/>
    </xf>
    <xf numFmtId="8" fontId="0" fillId="0" borderId="0" xfId="0" applyNumberFormat="1">
      <alignment vertical="center"/>
    </xf>
    <xf numFmtId="44" fontId="1" fillId="0" borderId="0" xfId="0" applyNumberFormat="1" applyFont="1" applyAlignment="1">
      <alignment horizontal="right" vertical="center"/>
    </xf>
    <xf numFmtId="44" fontId="6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177" fontId="0" fillId="0" borderId="0" xfId="0" applyNumberFormat="1">
      <alignment vertical="center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44" fontId="4" fillId="3" borderId="0" xfId="0" applyNumberFormat="1" applyFont="1" applyFill="1" applyAlignment="1">
      <alignment vertical="center"/>
    </xf>
    <xf numFmtId="44" fontId="0" fillId="3" borderId="0" xfId="0" applyNumberForma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041294838145233"/>
          <c:y val="0.20589129483814522"/>
          <c:w val="0.80133552055992996"/>
          <c:h val="0.76868037328667249"/>
        </c:manualLayout>
      </c:layout>
      <c:lineChart>
        <c:grouping val="standard"/>
        <c:varyColors val="0"/>
        <c:ser>
          <c:idx val="1"/>
          <c:order val="0"/>
          <c:tx>
            <c:v>房租变动率对NPV的影响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Sheet1!$C$77:$C$86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 formatCode="0.00%">
                  <c:v>0.68676911823862796</c:v>
                </c:pt>
              </c:numCache>
            </c:numRef>
          </c:cat>
          <c:val>
            <c:numRef>
              <c:f>Sheet1!$C$88:$C$97</c:f>
              <c:numCache>
                <c:formatCode>_("¥"* #,##0.00_);_("¥"* \(#,##0.00\);_("¥"* "-"??_);_(@_)</c:formatCode>
                <c:ptCount val="10"/>
                <c:pt idx="0">
                  <c:v>712733.94338739081</c:v>
                </c:pt>
                <c:pt idx="1">
                  <c:v>660843.58382344712</c:v>
                </c:pt>
                <c:pt idx="2">
                  <c:v>608953.22425950412</c:v>
                </c:pt>
                <c:pt idx="3">
                  <c:v>557062.86469555902</c:v>
                </c:pt>
                <c:pt idx="4">
                  <c:v>505172.50513161533</c:v>
                </c:pt>
                <c:pt idx="5">
                  <c:v>401391.7860037284</c:v>
                </c:pt>
                <c:pt idx="6">
                  <c:v>297611.06687584077</c:v>
                </c:pt>
                <c:pt idx="7">
                  <c:v>193830.34774795314</c:v>
                </c:pt>
                <c:pt idx="8">
                  <c:v>90049.628620065749</c:v>
                </c:pt>
                <c:pt idx="9">
                  <c:v>1.3731090351939201E-2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B35-48B2-A707-48BF41771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655280"/>
        <c:axId val="560656112"/>
      </c:lineChart>
      <c:catAx>
        <c:axId val="5606552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656112"/>
        <c:crosses val="autoZero"/>
        <c:auto val="1"/>
        <c:lblAlgn val="ctr"/>
        <c:lblOffset val="100"/>
        <c:noMultiLvlLbl val="0"/>
      </c:catAx>
      <c:valAx>
        <c:axId val="5606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¥&quot;* #,##0.00_);_(&quot;¥&quot;* \(#,##0.00\);_(&quot;¥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65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4"/>
          <c:order val="6"/>
          <c:tx>
            <c:v>年营收对NPV的影响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Sheet1!$D$119:$J$119</c:f>
              <c:numCache>
                <c:formatCode>General</c:formatCode>
                <c:ptCount val="7"/>
                <c:pt idx="0">
                  <c:v>450000</c:v>
                </c:pt>
                <c:pt idx="1">
                  <c:v>675000</c:v>
                </c:pt>
                <c:pt idx="2">
                  <c:v>900000</c:v>
                </c:pt>
                <c:pt idx="3">
                  <c:v>1125000</c:v>
                </c:pt>
                <c:pt idx="4">
                  <c:v>1350000</c:v>
                </c:pt>
                <c:pt idx="5">
                  <c:v>1575000</c:v>
                </c:pt>
                <c:pt idx="6">
                  <c:v>1800000</c:v>
                </c:pt>
              </c:numCache>
            </c:numRef>
          </c:cat>
          <c:val>
            <c:numRef>
              <c:f>Sheet1!$C$130:$C$136</c:f>
              <c:numCache>
                <c:formatCode>_("¥"* #,##0.00_);_("¥"* \(#,##0.00\);_("¥"* "-"??_);_(@_)</c:formatCode>
                <c:ptCount val="7"/>
                <c:pt idx="0">
                  <c:v>-4935962.5062400848</c:v>
                </c:pt>
                <c:pt idx="1">
                  <c:v>-3992656.2869911608</c:v>
                </c:pt>
                <c:pt idx="2">
                  <c:v>-3049350.0677422369</c:v>
                </c:pt>
                <c:pt idx="3">
                  <c:v>-2106043.8484933134</c:v>
                </c:pt>
                <c:pt idx="4">
                  <c:v>-1162737.6292443895</c:v>
                </c:pt>
                <c:pt idx="5">
                  <c:v>-219431.40999546577</c:v>
                </c:pt>
                <c:pt idx="6">
                  <c:v>723874.80925345747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2E-43C5-BF4F-2FCD88A1D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913695"/>
        <c:axId val="4322797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Sheet1!$B$119</c15:sqref>
                        </c15:formulaRef>
                      </c:ext>
                    </c:extLst>
                    <c:strCache>
                      <c:ptCount val="1"/>
                      <c:pt idx="0">
                        <c:v>年营收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Sheet1!$C$119:$J$119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1">
                        <c:v>450000</c:v>
                      </c:pt>
                      <c:pt idx="2">
                        <c:v>675000</c:v>
                      </c:pt>
                      <c:pt idx="3">
                        <c:v>900000</c:v>
                      </c:pt>
                      <c:pt idx="4">
                        <c:v>1125000</c:v>
                      </c:pt>
                      <c:pt idx="5">
                        <c:v>1350000</c:v>
                      </c:pt>
                      <c:pt idx="6">
                        <c:v>1575000</c:v>
                      </c:pt>
                      <c:pt idx="7">
                        <c:v>1800000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2E-43C5-BF4F-2FCD88A1DE1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Sheet1!$B$130</c15:sqref>
                        </c15:formulaRef>
                      </c:ext>
                    </c:extLst>
                    <c:strCache>
                      <c:ptCount val="1"/>
                      <c:pt idx="0">
                        <c:v>NPV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Sheet1!$C$130</c15:sqref>
                        </c15:formulaRef>
                      </c:ext>
                    </c:extLst>
                    <c:numCache>
                      <c:formatCode>_("¥"* #,##0.00_);_("¥"* \(#,##0.00\);_("¥"* "-"??_);_(@_)</c:formatCode>
                      <c:ptCount val="1"/>
                      <c:pt idx="0">
                        <c:v>-4935962.5062400848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2E-43C5-BF4F-2FCD88A1DE1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Sheet1!$C$131</c15:sqref>
                        </c15:formulaRef>
                      </c:ext>
                    </c:extLst>
                    <c:numCache>
                      <c:formatCode>_("¥"* #,##0.00_);_("¥"* \(#,##0.00\);_("¥"* "-"??_);_(@_)</c:formatCode>
                      <c:ptCount val="1"/>
                      <c:pt idx="0">
                        <c:v>-3992656.2869911608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92E-43C5-BF4F-2FCD88A1DE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Sheet1!$C$132</c15:sqref>
                        </c15:formulaRef>
                      </c:ext>
                    </c:extLst>
                    <c:numCache>
                      <c:formatCode>_("¥"* #,##0.00_);_("¥"* \(#,##0.00\);_("¥"* "-"??_);_(@_)</c:formatCode>
                      <c:ptCount val="1"/>
                      <c:pt idx="0">
                        <c:v>-3049350.0677422369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92E-43C5-BF4F-2FCD88A1DE17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Sheet1!$C$134</c15:sqref>
                        </c15:formulaRef>
                      </c:ext>
                    </c:extLst>
                    <c:numCache>
                      <c:formatCode>_("¥"* #,##0.00_);_("¥"* \(#,##0.00\);_("¥"* "-"??_);_(@_)</c:formatCode>
                      <c:ptCount val="1"/>
                      <c:pt idx="0">
                        <c:v>-1162737.6292443895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92E-43C5-BF4F-2FCD88A1DE17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Sheet1!$C$135</c15:sqref>
                        </c15:formulaRef>
                      </c:ext>
                    </c:extLst>
                    <c:numCache>
                      <c:formatCode>_("¥"* #,##0.00_);_("¥"* \(#,##0.00\);_("¥"* "-"??_);_(@_)</c:formatCode>
                      <c:ptCount val="1"/>
                      <c:pt idx="0">
                        <c:v>-219431.40999546577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92E-43C5-BF4F-2FCD88A1DE17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Sheet1!$D$119:$J$119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450000</c:v>
                      </c:pt>
                      <c:pt idx="1">
                        <c:v>675000</c:v>
                      </c:pt>
                      <c:pt idx="2">
                        <c:v>900000</c:v>
                      </c:pt>
                      <c:pt idx="3">
                        <c:v>1125000</c:v>
                      </c:pt>
                      <c:pt idx="4">
                        <c:v>1350000</c:v>
                      </c:pt>
                      <c:pt idx="5">
                        <c:v>1575000</c:v>
                      </c:pt>
                      <c:pt idx="6">
                        <c:v>1800000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A-392E-43C5-BF4F-2FCD88A1DE17}"/>
                  </c:ext>
                </c:extLst>
              </c15:ser>
            </c15:filteredLineSeries>
          </c:ext>
        </c:extLst>
      </c:lineChart>
      <c:catAx>
        <c:axId val="4349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279791"/>
        <c:crosses val="autoZero"/>
        <c:auto val="1"/>
        <c:lblAlgn val="ctr"/>
        <c:lblOffset val="100"/>
        <c:noMultiLvlLbl val="0"/>
      </c:catAx>
      <c:valAx>
        <c:axId val="43227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¥&quot;* #,##0.00_);_(&quot;¥&quot;* \(#,##0.00\);_(&quot;¥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49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97</xdr:row>
      <xdr:rowOff>0</xdr:rowOff>
    </xdr:from>
    <xdr:to>
      <xdr:col>12</xdr:col>
      <xdr:colOff>50800</xdr:colOff>
      <xdr:row>112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8E361E-91C1-4EE2-877A-41AC358DB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129</xdr:row>
      <xdr:rowOff>19050</xdr:rowOff>
    </xdr:from>
    <xdr:to>
      <xdr:col>13</xdr:col>
      <xdr:colOff>63500</xdr:colOff>
      <xdr:row>144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661EEE9-2284-4FE3-9C76-ED9032EE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0CC8-54F9-44E3-B796-C0B8D7A8D77B}">
  <dimension ref="B5:N138"/>
  <sheetViews>
    <sheetView tabSelected="1" topLeftCell="A113" zoomScaleNormal="100" workbookViewId="0">
      <selection activeCell="D116" sqref="D116"/>
    </sheetView>
  </sheetViews>
  <sheetFormatPr defaultRowHeight="14" x14ac:dyDescent="0.3"/>
  <cols>
    <col min="2" max="2" width="18.5" customWidth="1"/>
    <col min="3" max="3" width="22.6640625" customWidth="1"/>
    <col min="4" max="4" width="19.75" customWidth="1"/>
    <col min="5" max="5" width="13.58203125" bestFit="1" customWidth="1"/>
    <col min="9" max="9" width="17.83203125" customWidth="1"/>
    <col min="10" max="10" width="15.5" customWidth="1"/>
  </cols>
  <sheetData>
    <row r="5" spans="2:11" x14ac:dyDescent="0.3">
      <c r="B5" s="27" t="s">
        <v>0</v>
      </c>
      <c r="C5" s="28"/>
    </row>
    <row r="6" spans="2:11" x14ac:dyDescent="0.3">
      <c r="B6" s="28"/>
      <c r="C6" s="28"/>
    </row>
    <row r="7" spans="2:11" x14ac:dyDescent="0.3">
      <c r="D7" t="s">
        <v>1</v>
      </c>
      <c r="E7" t="s">
        <v>5</v>
      </c>
      <c r="F7" t="s">
        <v>6</v>
      </c>
      <c r="G7" t="s">
        <v>7</v>
      </c>
      <c r="H7" t="s">
        <v>8</v>
      </c>
      <c r="I7" t="s">
        <v>10</v>
      </c>
      <c r="J7" t="s">
        <v>9</v>
      </c>
      <c r="K7" t="s">
        <v>11</v>
      </c>
    </row>
    <row r="8" spans="2:11" x14ac:dyDescent="0.3">
      <c r="D8" t="s">
        <v>2</v>
      </c>
      <c r="E8">
        <v>1</v>
      </c>
      <c r="F8">
        <v>100</v>
      </c>
      <c r="G8">
        <v>100</v>
      </c>
      <c r="H8">
        <v>1</v>
      </c>
      <c r="I8">
        <v>8</v>
      </c>
      <c r="J8">
        <v>1</v>
      </c>
      <c r="K8">
        <v>1</v>
      </c>
    </row>
    <row r="9" spans="2:11" x14ac:dyDescent="0.3">
      <c r="D9" t="s">
        <v>3</v>
      </c>
      <c r="E9">
        <v>200000</v>
      </c>
      <c r="F9">
        <v>6000</v>
      </c>
      <c r="G9">
        <v>150</v>
      </c>
      <c r="H9">
        <v>300000</v>
      </c>
      <c r="I9">
        <v>8000</v>
      </c>
      <c r="J9">
        <v>100000</v>
      </c>
      <c r="K9">
        <v>100000</v>
      </c>
    </row>
    <row r="10" spans="2:11" x14ac:dyDescent="0.3">
      <c r="D10" t="s">
        <v>4</v>
      </c>
      <c r="E10">
        <f>E8*E9</f>
        <v>200000</v>
      </c>
      <c r="F10">
        <f t="shared" ref="F10:K10" si="0">F8*F9</f>
        <v>600000</v>
      </c>
      <c r="G10">
        <f t="shared" si="0"/>
        <v>15000</v>
      </c>
      <c r="H10">
        <f t="shared" si="0"/>
        <v>300000</v>
      </c>
      <c r="I10">
        <f t="shared" si="0"/>
        <v>64000</v>
      </c>
      <c r="J10">
        <f t="shared" si="0"/>
        <v>100000</v>
      </c>
      <c r="K10">
        <f t="shared" si="0"/>
        <v>100000</v>
      </c>
    </row>
    <row r="13" spans="2:11" x14ac:dyDescent="0.3">
      <c r="D13" s="1" t="s">
        <v>12</v>
      </c>
      <c r="E13">
        <f>SUM(E10:K10)</f>
        <v>1379000</v>
      </c>
    </row>
    <row r="15" spans="2:11" x14ac:dyDescent="0.3">
      <c r="B15" s="29" t="s">
        <v>13</v>
      </c>
      <c r="C15" s="30"/>
    </row>
    <row r="16" spans="2:11" x14ac:dyDescent="0.3">
      <c r="B16" s="30"/>
      <c r="C16" s="30"/>
    </row>
    <row r="17" spans="2:14" x14ac:dyDescent="0.3">
      <c r="D17" t="s">
        <v>14</v>
      </c>
      <c r="E17">
        <v>200</v>
      </c>
    </row>
    <row r="18" spans="2:14" x14ac:dyDescent="0.3">
      <c r="D18" t="s">
        <v>15</v>
      </c>
      <c r="E18">
        <v>5</v>
      </c>
    </row>
    <row r="19" spans="2:14" x14ac:dyDescent="0.3">
      <c r="D19" t="s">
        <v>16</v>
      </c>
      <c r="E19">
        <v>4</v>
      </c>
    </row>
    <row r="20" spans="2:14" x14ac:dyDescent="0.3">
      <c r="D20" t="s">
        <v>17</v>
      </c>
      <c r="E20">
        <v>10</v>
      </c>
    </row>
    <row r="21" spans="2:14" x14ac:dyDescent="0.3">
      <c r="D21" t="s">
        <v>18</v>
      </c>
      <c r="E21">
        <f>E18*E19+E20</f>
        <v>30</v>
      </c>
    </row>
    <row r="23" spans="2:14" x14ac:dyDescent="0.3">
      <c r="D23" s="1" t="s">
        <v>19</v>
      </c>
      <c r="E23">
        <f>E21*E17*300</f>
        <v>1800000</v>
      </c>
    </row>
    <row r="25" spans="2:14" x14ac:dyDescent="0.3">
      <c r="E25" s="31" t="s">
        <v>22</v>
      </c>
      <c r="F25" s="31"/>
      <c r="G25" s="24" t="s">
        <v>23</v>
      </c>
      <c r="H25" s="24"/>
      <c r="I25" s="24"/>
      <c r="J25" s="24"/>
      <c r="K25" s="24"/>
      <c r="L25" s="33" t="s">
        <v>24</v>
      </c>
      <c r="M25" s="33"/>
      <c r="N25" s="33"/>
    </row>
    <row r="26" spans="2:14" x14ac:dyDescent="0.3">
      <c r="D26" t="s">
        <v>20</v>
      </c>
      <c r="E26" s="2">
        <v>1</v>
      </c>
      <c r="F26" s="2">
        <v>2</v>
      </c>
      <c r="G26" s="3">
        <v>3</v>
      </c>
      <c r="H26" s="3">
        <v>4</v>
      </c>
      <c r="I26" s="3">
        <v>5</v>
      </c>
      <c r="J26" s="3">
        <v>6</v>
      </c>
      <c r="K26" s="3">
        <v>7</v>
      </c>
      <c r="L26" s="4">
        <v>8</v>
      </c>
      <c r="M26" s="4">
        <v>9</v>
      </c>
      <c r="N26" s="4">
        <v>10</v>
      </c>
    </row>
    <row r="27" spans="2:14" x14ac:dyDescent="0.3">
      <c r="D27" s="5" t="s">
        <v>21</v>
      </c>
      <c r="E27" s="2">
        <f>E23</f>
        <v>1800000</v>
      </c>
      <c r="F27" s="2">
        <f>E27*(1+3%)</f>
        <v>1854000</v>
      </c>
      <c r="G27" s="3">
        <f>F27</f>
        <v>1854000</v>
      </c>
      <c r="H27" s="3">
        <f t="shared" ref="H27:K27" si="1">G27</f>
        <v>1854000</v>
      </c>
      <c r="I27" s="3">
        <f t="shared" si="1"/>
        <v>1854000</v>
      </c>
      <c r="J27" s="3">
        <f t="shared" si="1"/>
        <v>1854000</v>
      </c>
      <c r="K27" s="3">
        <f t="shared" si="1"/>
        <v>1854000</v>
      </c>
      <c r="L27" s="4">
        <f>K27*(1-10%)</f>
        <v>1668600</v>
      </c>
      <c r="M27" s="4">
        <f t="shared" ref="M27:N27" si="2">L27*(1-10%)</f>
        <v>1501740</v>
      </c>
      <c r="N27" s="4">
        <f t="shared" si="2"/>
        <v>1351566</v>
      </c>
    </row>
    <row r="29" spans="2:14" x14ac:dyDescent="0.3">
      <c r="D29" t="s">
        <v>25</v>
      </c>
      <c r="E29">
        <f>E27/30</f>
        <v>60000</v>
      </c>
      <c r="F29">
        <f t="shared" ref="F29:N29" si="3">F27/30</f>
        <v>61800</v>
      </c>
      <c r="G29">
        <f t="shared" si="3"/>
        <v>61800</v>
      </c>
      <c r="H29">
        <f t="shared" si="3"/>
        <v>61800</v>
      </c>
      <c r="I29">
        <f t="shared" si="3"/>
        <v>61800</v>
      </c>
      <c r="J29">
        <f t="shared" si="3"/>
        <v>61800</v>
      </c>
      <c r="K29">
        <f t="shared" si="3"/>
        <v>61800</v>
      </c>
      <c r="L29">
        <f t="shared" si="3"/>
        <v>55620</v>
      </c>
      <c r="M29">
        <f t="shared" si="3"/>
        <v>50058</v>
      </c>
      <c r="N29">
        <f t="shared" si="3"/>
        <v>45052.2</v>
      </c>
    </row>
    <row r="31" spans="2:14" x14ac:dyDescent="0.3">
      <c r="B31" s="29" t="s">
        <v>26</v>
      </c>
      <c r="C31" s="30"/>
    </row>
    <row r="32" spans="2:14" x14ac:dyDescent="0.3">
      <c r="B32" s="30"/>
      <c r="C32" s="30"/>
    </row>
    <row r="33" spans="4:14" x14ac:dyDescent="0.3">
      <c r="D33" s="6" t="s">
        <v>27</v>
      </c>
      <c r="F33" t="s">
        <v>28</v>
      </c>
      <c r="G33" t="s">
        <v>29</v>
      </c>
      <c r="H33" t="s">
        <v>31</v>
      </c>
      <c r="I33" t="s">
        <v>30</v>
      </c>
      <c r="J33" t="s">
        <v>11</v>
      </c>
    </row>
    <row r="34" spans="4:14" x14ac:dyDescent="0.3">
      <c r="F34">
        <f>12*20000</f>
        <v>240000</v>
      </c>
      <c r="G34">
        <f>5*5000*12</f>
        <v>300000</v>
      </c>
      <c r="H34">
        <f>12*5000</f>
        <v>60000</v>
      </c>
      <c r="I34">
        <f>1*4000*12</f>
        <v>48000</v>
      </c>
      <c r="J34">
        <v>30000</v>
      </c>
    </row>
    <row r="35" spans="4:14" x14ac:dyDescent="0.3">
      <c r="D35" t="s">
        <v>32</v>
      </c>
      <c r="E35">
        <f>SUM(F34:J34)</f>
        <v>678000</v>
      </c>
    </row>
    <row r="37" spans="4:14" x14ac:dyDescent="0.3">
      <c r="D37" t="s">
        <v>20</v>
      </c>
      <c r="E37" s="2">
        <v>1</v>
      </c>
      <c r="F37" s="2">
        <v>2</v>
      </c>
      <c r="G37" s="3">
        <v>3</v>
      </c>
      <c r="H37" s="3">
        <v>4</v>
      </c>
      <c r="I37" s="3">
        <v>5</v>
      </c>
      <c r="J37" s="3">
        <v>6</v>
      </c>
      <c r="K37" s="3">
        <v>7</v>
      </c>
      <c r="L37" s="4">
        <v>8</v>
      </c>
      <c r="M37" s="4">
        <v>9</v>
      </c>
      <c r="N37" s="4">
        <v>10</v>
      </c>
    </row>
    <row r="38" spans="4:14" x14ac:dyDescent="0.3">
      <c r="D38" t="s">
        <v>27</v>
      </c>
      <c r="E38" s="2">
        <f>E35</f>
        <v>678000</v>
      </c>
      <c r="F38" s="2">
        <f>E38*(1+1%)</f>
        <v>684780</v>
      </c>
      <c r="G38" s="3">
        <f t="shared" ref="G38:N38" si="4">F38*(1+1%)</f>
        <v>691627.8</v>
      </c>
      <c r="H38" s="3">
        <f t="shared" si="4"/>
        <v>698544.0780000001</v>
      </c>
      <c r="I38" s="3">
        <f t="shared" si="4"/>
        <v>705529.51878000016</v>
      </c>
      <c r="J38" s="3">
        <f t="shared" si="4"/>
        <v>712584.81396780012</v>
      </c>
      <c r="K38" s="3">
        <f t="shared" si="4"/>
        <v>719710.66210747813</v>
      </c>
      <c r="L38" s="4">
        <f t="shared" si="4"/>
        <v>726907.76872855297</v>
      </c>
      <c r="M38" s="4">
        <f t="shared" si="4"/>
        <v>734176.84641583846</v>
      </c>
      <c r="N38" s="4">
        <f t="shared" si="4"/>
        <v>741518.61487999687</v>
      </c>
    </row>
    <row r="41" spans="4:14" x14ac:dyDescent="0.3">
      <c r="D41" t="s">
        <v>33</v>
      </c>
    </row>
    <row r="43" spans="4:14" x14ac:dyDescent="0.3">
      <c r="D43" t="s">
        <v>36</v>
      </c>
      <c r="E43">
        <v>10</v>
      </c>
    </row>
    <row r="45" spans="4:14" x14ac:dyDescent="0.3">
      <c r="D45" t="s">
        <v>20</v>
      </c>
      <c r="E45">
        <v>1</v>
      </c>
      <c r="F45">
        <v>2</v>
      </c>
      <c r="G45">
        <v>3</v>
      </c>
      <c r="H45">
        <v>4</v>
      </c>
      <c r="I45">
        <v>5</v>
      </c>
      <c r="J45">
        <v>6</v>
      </c>
      <c r="K45">
        <v>7</v>
      </c>
      <c r="L45">
        <v>8</v>
      </c>
      <c r="M45">
        <v>9</v>
      </c>
      <c r="N45">
        <v>10</v>
      </c>
    </row>
    <row r="46" spans="4:14" x14ac:dyDescent="0.3">
      <c r="D46" t="s">
        <v>34</v>
      </c>
      <c r="E46">
        <f>E29</f>
        <v>60000</v>
      </c>
      <c r="F46">
        <f t="shared" ref="F46:N46" si="5">F29</f>
        <v>61800</v>
      </c>
      <c r="G46">
        <f t="shared" si="5"/>
        <v>61800</v>
      </c>
      <c r="H46">
        <f t="shared" si="5"/>
        <v>61800</v>
      </c>
      <c r="I46">
        <f t="shared" si="5"/>
        <v>61800</v>
      </c>
      <c r="J46">
        <f t="shared" si="5"/>
        <v>61800</v>
      </c>
      <c r="K46">
        <f t="shared" si="5"/>
        <v>61800</v>
      </c>
      <c r="L46">
        <f t="shared" si="5"/>
        <v>55620</v>
      </c>
      <c r="M46">
        <f t="shared" si="5"/>
        <v>50058</v>
      </c>
      <c r="N46">
        <f t="shared" si="5"/>
        <v>45052.2</v>
      </c>
    </row>
    <row r="47" spans="4:14" x14ac:dyDescent="0.3">
      <c r="D47" t="s">
        <v>35</v>
      </c>
      <c r="E47">
        <f>E46*$E$43</f>
        <v>600000</v>
      </c>
      <c r="F47">
        <f t="shared" ref="F47:N47" si="6">F46*$E$43</f>
        <v>618000</v>
      </c>
      <c r="G47">
        <f t="shared" si="6"/>
        <v>618000</v>
      </c>
      <c r="H47">
        <f t="shared" si="6"/>
        <v>618000</v>
      </c>
      <c r="I47">
        <f t="shared" si="6"/>
        <v>618000</v>
      </c>
      <c r="J47">
        <f t="shared" si="6"/>
        <v>618000</v>
      </c>
      <c r="K47">
        <f t="shared" si="6"/>
        <v>618000</v>
      </c>
      <c r="L47">
        <f t="shared" si="6"/>
        <v>556200</v>
      </c>
      <c r="M47">
        <f t="shared" si="6"/>
        <v>500580</v>
      </c>
      <c r="N47">
        <f t="shared" si="6"/>
        <v>450522</v>
      </c>
    </row>
    <row r="51" spans="2:14" x14ac:dyDescent="0.3">
      <c r="D51" s="7" t="s">
        <v>37</v>
      </c>
      <c r="E51" s="7">
        <f>E47+E38</f>
        <v>1278000</v>
      </c>
      <c r="F51" s="7">
        <f t="shared" ref="F51:N51" si="7">F47+F38</f>
        <v>1302780</v>
      </c>
      <c r="G51" s="7">
        <f t="shared" si="7"/>
        <v>1309627.8</v>
      </c>
      <c r="H51" s="7">
        <f t="shared" si="7"/>
        <v>1316544.0780000002</v>
      </c>
      <c r="I51" s="7">
        <f t="shared" si="7"/>
        <v>1323529.51878</v>
      </c>
      <c r="J51" s="7">
        <f t="shared" si="7"/>
        <v>1330584.8139678002</v>
      </c>
      <c r="K51" s="7">
        <f t="shared" si="7"/>
        <v>1337710.6621074781</v>
      </c>
      <c r="L51" s="7">
        <f t="shared" si="7"/>
        <v>1283107.7687285529</v>
      </c>
      <c r="M51" s="7">
        <f t="shared" si="7"/>
        <v>1234756.8464158385</v>
      </c>
      <c r="N51" s="7">
        <f t="shared" si="7"/>
        <v>1192040.614879997</v>
      </c>
    </row>
    <row r="53" spans="2:14" x14ac:dyDescent="0.3">
      <c r="B53" s="29" t="s">
        <v>38</v>
      </c>
      <c r="C53" s="30"/>
    </row>
    <row r="54" spans="2:14" x14ac:dyDescent="0.3">
      <c r="B54" s="30"/>
      <c r="C54" s="30"/>
    </row>
    <row r="56" spans="2:14" x14ac:dyDescent="0.3">
      <c r="C56" t="s">
        <v>20</v>
      </c>
      <c r="D56">
        <v>0</v>
      </c>
      <c r="E56">
        <v>1</v>
      </c>
      <c r="F56">
        <v>2</v>
      </c>
      <c r="G56">
        <v>3</v>
      </c>
      <c r="H56">
        <v>4</v>
      </c>
      <c r="I56">
        <v>5</v>
      </c>
      <c r="J56">
        <v>6</v>
      </c>
      <c r="K56">
        <v>7</v>
      </c>
      <c r="L56">
        <v>8</v>
      </c>
      <c r="M56">
        <v>9</v>
      </c>
      <c r="N56">
        <v>10</v>
      </c>
    </row>
    <row r="57" spans="2:14" x14ac:dyDescent="0.3">
      <c r="C57" t="s">
        <v>12</v>
      </c>
      <c r="D57">
        <f>E13</f>
        <v>1379000</v>
      </c>
    </row>
    <row r="58" spans="2:14" x14ac:dyDescent="0.3">
      <c r="C58" t="s">
        <v>39</v>
      </c>
      <c r="E58">
        <f>E27</f>
        <v>1800000</v>
      </c>
      <c r="F58">
        <f t="shared" ref="F58:N58" si="8">F27</f>
        <v>1854000</v>
      </c>
      <c r="G58">
        <f t="shared" si="8"/>
        <v>1854000</v>
      </c>
      <c r="H58">
        <f t="shared" si="8"/>
        <v>1854000</v>
      </c>
      <c r="I58">
        <f t="shared" si="8"/>
        <v>1854000</v>
      </c>
      <c r="J58">
        <f t="shared" si="8"/>
        <v>1854000</v>
      </c>
      <c r="K58">
        <f t="shared" si="8"/>
        <v>1854000</v>
      </c>
      <c r="L58">
        <f t="shared" si="8"/>
        <v>1668600</v>
      </c>
      <c r="M58">
        <f t="shared" si="8"/>
        <v>1501740</v>
      </c>
      <c r="N58">
        <f t="shared" si="8"/>
        <v>1351566</v>
      </c>
    </row>
    <row r="59" spans="2:14" x14ac:dyDescent="0.3">
      <c r="C59" t="s">
        <v>40</v>
      </c>
      <c r="E59">
        <f>E51</f>
        <v>1278000</v>
      </c>
      <c r="F59">
        <f t="shared" ref="F59:N59" si="9">F51</f>
        <v>1302780</v>
      </c>
      <c r="G59">
        <f t="shared" si="9"/>
        <v>1309627.8</v>
      </c>
      <c r="H59">
        <f t="shared" si="9"/>
        <v>1316544.0780000002</v>
      </c>
      <c r="I59">
        <f t="shared" si="9"/>
        <v>1323529.51878</v>
      </c>
      <c r="J59">
        <f t="shared" si="9"/>
        <v>1330584.8139678002</v>
      </c>
      <c r="K59">
        <f t="shared" si="9"/>
        <v>1337710.6621074781</v>
      </c>
      <c r="L59">
        <f t="shared" si="9"/>
        <v>1283107.7687285529</v>
      </c>
      <c r="M59">
        <f t="shared" si="9"/>
        <v>1234756.8464158385</v>
      </c>
      <c r="N59">
        <f t="shared" si="9"/>
        <v>1192040.614879997</v>
      </c>
    </row>
    <row r="61" spans="2:14" x14ac:dyDescent="0.3">
      <c r="C61" s="7" t="s">
        <v>41</v>
      </c>
      <c r="D61" s="7">
        <f>D58-D59-D57</f>
        <v>-1379000</v>
      </c>
      <c r="E61" s="7">
        <f t="shared" ref="E61:N61" si="10">E58-E59-E57</f>
        <v>522000</v>
      </c>
      <c r="F61" s="7">
        <f t="shared" si="10"/>
        <v>551220</v>
      </c>
      <c r="G61" s="7">
        <f t="shared" si="10"/>
        <v>544372.19999999995</v>
      </c>
      <c r="H61" s="7">
        <f t="shared" si="10"/>
        <v>537455.92199999979</v>
      </c>
      <c r="I61" s="7">
        <f t="shared" si="10"/>
        <v>530470.48121999996</v>
      </c>
      <c r="J61" s="7">
        <f t="shared" si="10"/>
        <v>523415.18603219977</v>
      </c>
      <c r="K61" s="7">
        <f t="shared" si="10"/>
        <v>516289.33789252187</v>
      </c>
      <c r="L61" s="7">
        <f t="shared" si="10"/>
        <v>385492.23127144715</v>
      </c>
      <c r="M61" s="7">
        <f t="shared" si="10"/>
        <v>266983.15358416154</v>
      </c>
      <c r="N61" s="7">
        <f t="shared" si="10"/>
        <v>159525.38512000302</v>
      </c>
    </row>
    <row r="62" spans="2:14" x14ac:dyDescent="0.3">
      <c r="C62" t="s">
        <v>46</v>
      </c>
      <c r="D62">
        <f>D61</f>
        <v>-1379000</v>
      </c>
      <c r="E62">
        <f>D62+E61</f>
        <v>-857000</v>
      </c>
      <c r="F62">
        <f>E62+F61</f>
        <v>-305780</v>
      </c>
      <c r="G62">
        <f t="shared" ref="G62:N62" si="11">F62+G61</f>
        <v>238592.19999999995</v>
      </c>
      <c r="H62">
        <f t="shared" si="11"/>
        <v>776048.12199999974</v>
      </c>
      <c r="I62">
        <f t="shared" si="11"/>
        <v>1306518.6032199997</v>
      </c>
      <c r="J62">
        <f t="shared" si="11"/>
        <v>1829933.7892521995</v>
      </c>
      <c r="K62">
        <f t="shared" si="11"/>
        <v>2346223.1271447213</v>
      </c>
      <c r="L62">
        <f t="shared" si="11"/>
        <v>2731715.3584161685</v>
      </c>
      <c r="M62">
        <f t="shared" si="11"/>
        <v>2998698.5120003298</v>
      </c>
      <c r="N62">
        <f t="shared" si="11"/>
        <v>3158223.8971203328</v>
      </c>
    </row>
    <row r="63" spans="2:14" x14ac:dyDescent="0.3">
      <c r="C63" t="s">
        <v>45</v>
      </c>
      <c r="D63" s="8">
        <v>0.2</v>
      </c>
    </row>
    <row r="64" spans="2:14" x14ac:dyDescent="0.3">
      <c r="C64" s="7" t="s">
        <v>42</v>
      </c>
      <c r="D64" s="9">
        <f>D61+NPV(20%,E61:N61)</f>
        <v>712733.94338739081</v>
      </c>
    </row>
    <row r="65" spans="2:14" x14ac:dyDescent="0.3">
      <c r="C65" s="7" t="s">
        <v>43</v>
      </c>
      <c r="D65" s="11">
        <f>IRR(D61:N61)</f>
        <v>0.35686237222909867</v>
      </c>
    </row>
    <row r="66" spans="2:14" x14ac:dyDescent="0.3">
      <c r="C66" s="7" t="s">
        <v>47</v>
      </c>
      <c r="D66" s="10">
        <f>-PMT(D63,10,D64)</f>
        <v>170003.26510075212</v>
      </c>
    </row>
    <row r="67" spans="2:14" x14ac:dyDescent="0.3">
      <c r="C67" s="7" t="s">
        <v>49</v>
      </c>
      <c r="D67" s="12">
        <f>2+ABS(F62)/G61</f>
        <v>2.5617112703404032</v>
      </c>
    </row>
    <row r="68" spans="2:14" x14ac:dyDescent="0.3">
      <c r="B68" s="29" t="s">
        <v>44</v>
      </c>
      <c r="C68" s="30"/>
    </row>
    <row r="69" spans="2:14" x14ac:dyDescent="0.3">
      <c r="B69" s="30"/>
      <c r="C69" s="30"/>
    </row>
    <row r="71" spans="2:14" x14ac:dyDescent="0.3">
      <c r="C71" s="7" t="s">
        <v>48</v>
      </c>
    </row>
    <row r="72" spans="2:14" x14ac:dyDescent="0.3">
      <c r="C72" s="7" t="s">
        <v>50</v>
      </c>
    </row>
    <row r="73" spans="2:14" x14ac:dyDescent="0.3">
      <c r="C73" s="7" t="s">
        <v>51</v>
      </c>
    </row>
    <row r="74" spans="2:14" x14ac:dyDescent="0.3">
      <c r="C74" s="7" t="s">
        <v>28</v>
      </c>
    </row>
    <row r="75" spans="2:14" x14ac:dyDescent="0.3">
      <c r="D75" s="24" t="s">
        <v>53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2:14" x14ac:dyDescent="0.3">
      <c r="C76" s="7" t="s">
        <v>20</v>
      </c>
      <c r="D76">
        <v>0</v>
      </c>
      <c r="E76">
        <v>1</v>
      </c>
      <c r="F76">
        <v>2</v>
      </c>
      <c r="G76">
        <v>3</v>
      </c>
      <c r="H76">
        <v>4</v>
      </c>
      <c r="I76">
        <v>5</v>
      </c>
      <c r="J76">
        <v>6</v>
      </c>
      <c r="K76">
        <v>7</v>
      </c>
      <c r="L76">
        <v>8</v>
      </c>
      <c r="M76">
        <v>9</v>
      </c>
      <c r="N76">
        <v>10</v>
      </c>
    </row>
    <row r="77" spans="2:14" x14ac:dyDescent="0.3">
      <c r="B77" s="32" t="s">
        <v>52</v>
      </c>
      <c r="C77" s="8">
        <v>0</v>
      </c>
      <c r="E77">
        <f>$F$34*(1+$C$77)+SUM($G$34:$J$34)</f>
        <v>678000</v>
      </c>
      <c r="F77">
        <f t="shared" ref="F77:F86" si="12">E77*1.01</f>
        <v>684780</v>
      </c>
      <c r="G77">
        <f t="shared" ref="G77:N77" si="13">F77*1.01</f>
        <v>691627.8</v>
      </c>
      <c r="H77">
        <f t="shared" si="13"/>
        <v>698544.0780000001</v>
      </c>
      <c r="I77">
        <f t="shared" si="13"/>
        <v>705529.51878000016</v>
      </c>
      <c r="J77">
        <f t="shared" si="13"/>
        <v>712584.81396780012</v>
      </c>
      <c r="K77">
        <f t="shared" si="13"/>
        <v>719710.66210747813</v>
      </c>
      <c r="L77">
        <f t="shared" si="13"/>
        <v>726907.76872855297</v>
      </c>
      <c r="M77">
        <f t="shared" si="13"/>
        <v>734176.84641583846</v>
      </c>
      <c r="N77">
        <f t="shared" si="13"/>
        <v>741518.61487999687</v>
      </c>
    </row>
    <row r="78" spans="2:14" x14ac:dyDescent="0.3">
      <c r="B78" s="32"/>
      <c r="C78" s="8">
        <v>0.05</v>
      </c>
      <c r="E78">
        <f>$F$34*(1+$C$78)+SUM($G$34:$J$34)</f>
        <v>690000</v>
      </c>
      <c r="F78">
        <f t="shared" si="12"/>
        <v>696900</v>
      </c>
      <c r="G78">
        <f t="shared" ref="G78:N78" si="14">F78*1.01</f>
        <v>703869</v>
      </c>
      <c r="H78">
        <f t="shared" si="14"/>
        <v>710907.69000000006</v>
      </c>
      <c r="I78">
        <f t="shared" si="14"/>
        <v>718016.76690000005</v>
      </c>
      <c r="J78">
        <f t="shared" si="14"/>
        <v>725196.93456900003</v>
      </c>
      <c r="K78">
        <f t="shared" si="14"/>
        <v>732448.90391469002</v>
      </c>
      <c r="L78">
        <f t="shared" si="14"/>
        <v>739773.39295383694</v>
      </c>
      <c r="M78">
        <f t="shared" si="14"/>
        <v>747171.12688337534</v>
      </c>
      <c r="N78">
        <f t="shared" si="14"/>
        <v>754642.83815220906</v>
      </c>
    </row>
    <row r="79" spans="2:14" x14ac:dyDescent="0.3">
      <c r="B79" s="32"/>
      <c r="C79" s="8">
        <v>0.1</v>
      </c>
      <c r="E79">
        <f>$F$34*(1+$C$79)+SUM($G$34:$J$34)</f>
        <v>702000</v>
      </c>
      <c r="F79">
        <f t="shared" si="12"/>
        <v>709020</v>
      </c>
      <c r="G79">
        <f t="shared" ref="G79:N79" si="15">F79*1.01</f>
        <v>716110.2</v>
      </c>
      <c r="H79">
        <f t="shared" si="15"/>
        <v>723271.30199999991</v>
      </c>
      <c r="I79">
        <f t="shared" si="15"/>
        <v>730504.01501999993</v>
      </c>
      <c r="J79">
        <f t="shared" si="15"/>
        <v>737809.05517019995</v>
      </c>
      <c r="K79">
        <f t="shared" si="15"/>
        <v>745187.14572190191</v>
      </c>
      <c r="L79">
        <f t="shared" si="15"/>
        <v>752639.01717912091</v>
      </c>
      <c r="M79">
        <f t="shared" si="15"/>
        <v>760165.40735091211</v>
      </c>
      <c r="N79">
        <f t="shared" si="15"/>
        <v>767767.06142442126</v>
      </c>
    </row>
    <row r="80" spans="2:14" x14ac:dyDescent="0.3">
      <c r="B80" s="32"/>
      <c r="C80" s="8">
        <v>0.15</v>
      </c>
      <c r="E80">
        <f>$F$34*(1+$C$80)+SUM($G$34:$J$34)</f>
        <v>714000</v>
      </c>
      <c r="F80">
        <f t="shared" si="12"/>
        <v>721140</v>
      </c>
      <c r="G80">
        <f t="shared" ref="G80:N80" si="16">F80*1.01</f>
        <v>728351.4</v>
      </c>
      <c r="H80">
        <f t="shared" si="16"/>
        <v>735634.91399999999</v>
      </c>
      <c r="I80">
        <f t="shared" si="16"/>
        <v>742991.26314000005</v>
      </c>
      <c r="J80">
        <f t="shared" si="16"/>
        <v>750421.1757714001</v>
      </c>
      <c r="K80">
        <f t="shared" si="16"/>
        <v>757925.38752911414</v>
      </c>
      <c r="L80">
        <f t="shared" si="16"/>
        <v>765504.64140440524</v>
      </c>
      <c r="M80">
        <f t="shared" si="16"/>
        <v>773159.68781844934</v>
      </c>
      <c r="N80">
        <f t="shared" si="16"/>
        <v>780891.28469663381</v>
      </c>
    </row>
    <row r="81" spans="2:14" x14ac:dyDescent="0.3">
      <c r="B81" s="32"/>
      <c r="C81" s="8">
        <v>0.2</v>
      </c>
      <c r="E81">
        <f>$F$34*(1+$C$81)+SUM($G$34:$J$34)</f>
        <v>726000</v>
      </c>
      <c r="F81">
        <f t="shared" si="12"/>
        <v>733260</v>
      </c>
      <c r="G81">
        <f t="shared" ref="G81:N81" si="17">F81*1.01</f>
        <v>740592.6</v>
      </c>
      <c r="H81">
        <f t="shared" si="17"/>
        <v>747998.52599999995</v>
      </c>
      <c r="I81">
        <f t="shared" si="17"/>
        <v>755478.51125999994</v>
      </c>
      <c r="J81">
        <f t="shared" si="17"/>
        <v>763033.2963725999</v>
      </c>
      <c r="K81">
        <f t="shared" si="17"/>
        <v>770663.62933632592</v>
      </c>
      <c r="L81">
        <f t="shared" si="17"/>
        <v>778370.26562968921</v>
      </c>
      <c r="M81">
        <f t="shared" si="17"/>
        <v>786153.96828598611</v>
      </c>
      <c r="N81">
        <f t="shared" si="17"/>
        <v>794015.50796884601</v>
      </c>
    </row>
    <row r="82" spans="2:14" x14ac:dyDescent="0.3">
      <c r="B82" s="32"/>
      <c r="C82" s="8">
        <v>0.3</v>
      </c>
      <c r="E82">
        <f>$F$34*(1+$C$82)+SUM($G$34:$J$34)</f>
        <v>750000</v>
      </c>
      <c r="F82">
        <f t="shared" si="12"/>
        <v>757500</v>
      </c>
      <c r="G82">
        <f t="shared" ref="G82:N86" si="18">F82*1.01</f>
        <v>765075</v>
      </c>
      <c r="H82">
        <f t="shared" si="18"/>
        <v>772725.75</v>
      </c>
      <c r="I82">
        <f t="shared" si="18"/>
        <v>780453.00749999995</v>
      </c>
      <c r="J82">
        <f t="shared" si="18"/>
        <v>788257.53757499997</v>
      </c>
      <c r="K82">
        <f t="shared" si="18"/>
        <v>796140.11295074993</v>
      </c>
      <c r="L82">
        <f t="shared" si="18"/>
        <v>804101.51408025739</v>
      </c>
      <c r="M82">
        <f t="shared" si="18"/>
        <v>812142.52922105999</v>
      </c>
      <c r="N82">
        <f t="shared" si="18"/>
        <v>820263.95451327064</v>
      </c>
    </row>
    <row r="83" spans="2:14" x14ac:dyDescent="0.3">
      <c r="B83" s="32"/>
      <c r="C83" s="8">
        <v>0.4</v>
      </c>
      <c r="E83">
        <f>$F$34*(1+$C$83)+SUM($G$34:$J$34)</f>
        <v>774000</v>
      </c>
      <c r="F83">
        <f t="shared" si="12"/>
        <v>781740</v>
      </c>
      <c r="G83">
        <f t="shared" si="18"/>
        <v>789557.4</v>
      </c>
      <c r="H83">
        <f t="shared" si="18"/>
        <v>797452.97400000005</v>
      </c>
      <c r="I83">
        <f t="shared" si="18"/>
        <v>805427.50374000007</v>
      </c>
      <c r="J83">
        <f t="shared" si="18"/>
        <v>813481.77877740003</v>
      </c>
      <c r="K83">
        <f t="shared" si="18"/>
        <v>821616.59656517406</v>
      </c>
      <c r="L83">
        <f t="shared" si="18"/>
        <v>829832.7625308258</v>
      </c>
      <c r="M83">
        <f t="shared" si="18"/>
        <v>838131.0901561341</v>
      </c>
      <c r="N83">
        <f t="shared" si="18"/>
        <v>846512.4010576955</v>
      </c>
    </row>
    <row r="84" spans="2:14" x14ac:dyDescent="0.3">
      <c r="B84" s="32"/>
      <c r="C84" s="8">
        <v>0.5</v>
      </c>
      <c r="E84">
        <f>$F$34*(1+$C$84)+SUM($G$34:$J$34)</f>
        <v>798000</v>
      </c>
      <c r="F84">
        <f t="shared" si="12"/>
        <v>805980</v>
      </c>
      <c r="G84">
        <f t="shared" si="18"/>
        <v>814039.8</v>
      </c>
      <c r="H84">
        <f t="shared" si="18"/>
        <v>822180.19800000009</v>
      </c>
      <c r="I84">
        <f t="shared" si="18"/>
        <v>830401.99998000008</v>
      </c>
      <c r="J84">
        <f t="shared" si="18"/>
        <v>838706.0199798001</v>
      </c>
      <c r="K84">
        <f t="shared" si="18"/>
        <v>847093.08017959807</v>
      </c>
      <c r="L84">
        <f t="shared" si="18"/>
        <v>855564.01098139409</v>
      </c>
      <c r="M84">
        <f t="shared" si="18"/>
        <v>864119.6510912081</v>
      </c>
      <c r="N84">
        <f t="shared" si="18"/>
        <v>872760.84760212013</v>
      </c>
    </row>
    <row r="85" spans="2:14" x14ac:dyDescent="0.3">
      <c r="B85" s="32"/>
      <c r="C85" s="8">
        <v>0.6</v>
      </c>
      <c r="E85">
        <f>$F$34*(1+$C$85)+SUM($G$34:$J$34)</f>
        <v>822000</v>
      </c>
      <c r="F85">
        <f t="shared" si="12"/>
        <v>830220</v>
      </c>
      <c r="G85">
        <f t="shared" si="18"/>
        <v>838522.2</v>
      </c>
      <c r="H85">
        <f t="shared" si="18"/>
        <v>846907.4219999999</v>
      </c>
      <c r="I85">
        <f t="shared" si="18"/>
        <v>855376.49621999986</v>
      </c>
      <c r="J85">
        <f t="shared" si="18"/>
        <v>863930.26118219981</v>
      </c>
      <c r="K85">
        <f t="shared" si="18"/>
        <v>872569.56379402184</v>
      </c>
      <c r="L85">
        <f t="shared" si="18"/>
        <v>881295.25943196204</v>
      </c>
      <c r="M85">
        <f t="shared" si="18"/>
        <v>890108.21202628163</v>
      </c>
      <c r="N85">
        <f t="shared" si="18"/>
        <v>899009.29414654442</v>
      </c>
    </row>
    <row r="86" spans="2:14" x14ac:dyDescent="0.3">
      <c r="B86" s="32"/>
      <c r="C86" s="13">
        <v>0.68676911823862796</v>
      </c>
      <c r="E86">
        <f>$F$34*(1+$C$86)+SUM($G$34:$J$34)</f>
        <v>842824.58837727073</v>
      </c>
      <c r="F86">
        <f t="shared" si="12"/>
        <v>851252.83426104346</v>
      </c>
      <c r="G86">
        <f t="shared" si="18"/>
        <v>859765.36260365392</v>
      </c>
      <c r="H86">
        <f t="shared" si="18"/>
        <v>868363.01622969052</v>
      </c>
      <c r="I86">
        <f t="shared" si="18"/>
        <v>877046.64639198745</v>
      </c>
      <c r="J86">
        <f t="shared" si="18"/>
        <v>885817.1128559073</v>
      </c>
      <c r="K86">
        <f t="shared" si="18"/>
        <v>894675.28398446634</v>
      </c>
      <c r="L86">
        <f t="shared" si="18"/>
        <v>903622.03682431101</v>
      </c>
      <c r="M86">
        <f t="shared" si="18"/>
        <v>912658.25719255419</v>
      </c>
      <c r="N86">
        <f t="shared" si="18"/>
        <v>921784.83976447978</v>
      </c>
    </row>
    <row r="87" spans="2:14" x14ac:dyDescent="0.3">
      <c r="D87" s="24" t="s">
        <v>54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2:14" x14ac:dyDescent="0.3">
      <c r="B88" s="25" t="s">
        <v>42</v>
      </c>
      <c r="C88" s="17">
        <f t="shared" ref="C88:C97" si="19">D88+NPV(20%,E88:N88)</f>
        <v>712733.94338739081</v>
      </c>
      <c r="D88">
        <f>-1379000</f>
        <v>-1379000</v>
      </c>
      <c r="E88">
        <f>-E$57+E$58-E77-E$47</f>
        <v>522000</v>
      </c>
      <c r="F88">
        <f t="shared" ref="F88:N88" si="20">-F$57+F$58-F77-F$47</f>
        <v>551220</v>
      </c>
      <c r="G88">
        <f t="shared" si="20"/>
        <v>544372.19999999995</v>
      </c>
      <c r="H88">
        <f t="shared" si="20"/>
        <v>537455.92199999979</v>
      </c>
      <c r="I88">
        <f t="shared" si="20"/>
        <v>530470.48121999996</v>
      </c>
      <c r="J88">
        <f t="shared" si="20"/>
        <v>523415.18603219977</v>
      </c>
      <c r="K88">
        <f t="shared" si="20"/>
        <v>516289.33789252187</v>
      </c>
      <c r="L88">
        <f t="shared" si="20"/>
        <v>385492.23127144703</v>
      </c>
      <c r="M88">
        <f t="shared" si="20"/>
        <v>266983.15358416154</v>
      </c>
      <c r="N88">
        <f t="shared" si="20"/>
        <v>159525.38512000313</v>
      </c>
    </row>
    <row r="89" spans="2:14" x14ac:dyDescent="0.3">
      <c r="B89" s="25"/>
      <c r="C89" s="17">
        <f t="shared" si="19"/>
        <v>660843.58382344712</v>
      </c>
      <c r="D89">
        <f t="shared" ref="D89:D97" si="21">-1379000</f>
        <v>-1379000</v>
      </c>
      <c r="E89">
        <f t="shared" ref="E89:N89" si="22">-E$57+E$58-E78-E$47</f>
        <v>510000</v>
      </c>
      <c r="F89">
        <f t="shared" si="22"/>
        <v>539100</v>
      </c>
      <c r="G89">
        <f t="shared" si="22"/>
        <v>532131</v>
      </c>
      <c r="H89">
        <f t="shared" si="22"/>
        <v>525092.31000000006</v>
      </c>
      <c r="I89">
        <f t="shared" si="22"/>
        <v>517983.23309999984</v>
      </c>
      <c r="J89">
        <f t="shared" si="22"/>
        <v>510803.06543099997</v>
      </c>
      <c r="K89">
        <f t="shared" si="22"/>
        <v>503551.09608530998</v>
      </c>
      <c r="L89">
        <f t="shared" si="22"/>
        <v>372626.60704616306</v>
      </c>
      <c r="M89">
        <f t="shared" si="22"/>
        <v>253988.87311662466</v>
      </c>
      <c r="N89">
        <f t="shared" si="22"/>
        <v>146401.16184779094</v>
      </c>
    </row>
    <row r="90" spans="2:14" x14ac:dyDescent="0.3">
      <c r="B90" s="25"/>
      <c r="C90" s="17">
        <f t="shared" si="19"/>
        <v>608953.22425950412</v>
      </c>
      <c r="D90">
        <f t="shared" si="21"/>
        <v>-1379000</v>
      </c>
      <c r="E90">
        <f t="shared" ref="E90:N90" si="23">-E$57+E$58-E79-E$47</f>
        <v>498000</v>
      </c>
      <c r="F90">
        <f t="shared" si="23"/>
        <v>526980</v>
      </c>
      <c r="G90">
        <f t="shared" si="23"/>
        <v>519889.80000000005</v>
      </c>
      <c r="H90">
        <f t="shared" si="23"/>
        <v>512728.69800000009</v>
      </c>
      <c r="I90">
        <f t="shared" si="23"/>
        <v>505495.98498000018</v>
      </c>
      <c r="J90">
        <f t="shared" si="23"/>
        <v>498190.94482980017</v>
      </c>
      <c r="K90">
        <f t="shared" si="23"/>
        <v>490812.85427809809</v>
      </c>
      <c r="L90">
        <f t="shared" si="23"/>
        <v>359760.98282087909</v>
      </c>
      <c r="M90">
        <f t="shared" si="23"/>
        <v>240994.59264908789</v>
      </c>
      <c r="N90">
        <f t="shared" si="23"/>
        <v>133276.93857557874</v>
      </c>
    </row>
    <row r="91" spans="2:14" x14ac:dyDescent="0.3">
      <c r="B91" s="25"/>
      <c r="C91" s="17">
        <f t="shared" si="19"/>
        <v>557062.86469555902</v>
      </c>
      <c r="D91">
        <f t="shared" si="21"/>
        <v>-1379000</v>
      </c>
      <c r="E91">
        <f t="shared" ref="E91:N91" si="24">-E$57+E$58-E80-E$47</f>
        <v>486000</v>
      </c>
      <c r="F91">
        <f t="shared" si="24"/>
        <v>514860</v>
      </c>
      <c r="G91">
        <f t="shared" si="24"/>
        <v>507648.60000000009</v>
      </c>
      <c r="H91">
        <f t="shared" si="24"/>
        <v>500365.08600000013</v>
      </c>
      <c r="I91">
        <f t="shared" si="24"/>
        <v>493008.73686000006</v>
      </c>
      <c r="J91">
        <f t="shared" si="24"/>
        <v>485578.8242285999</v>
      </c>
      <c r="K91">
        <f t="shared" si="24"/>
        <v>478074.61247088574</v>
      </c>
      <c r="L91">
        <f t="shared" si="24"/>
        <v>346895.35859559476</v>
      </c>
      <c r="M91">
        <f t="shared" si="24"/>
        <v>228000.31218155066</v>
      </c>
      <c r="N91">
        <f t="shared" si="24"/>
        <v>120152.71530336619</v>
      </c>
    </row>
    <row r="92" spans="2:14" x14ac:dyDescent="0.3">
      <c r="B92" s="25"/>
      <c r="C92" s="17">
        <f t="shared" si="19"/>
        <v>505172.50513161533</v>
      </c>
      <c r="D92">
        <f t="shared" si="21"/>
        <v>-1379000</v>
      </c>
      <c r="E92">
        <f t="shared" ref="E92:N92" si="25">-E$57+E$58-E81-E$47</f>
        <v>474000</v>
      </c>
      <c r="F92">
        <f t="shared" si="25"/>
        <v>502740</v>
      </c>
      <c r="G92">
        <f t="shared" si="25"/>
        <v>495407.39999999991</v>
      </c>
      <c r="H92">
        <f t="shared" si="25"/>
        <v>488001.47399999993</v>
      </c>
      <c r="I92">
        <f t="shared" si="25"/>
        <v>480521.48873999994</v>
      </c>
      <c r="J92">
        <f t="shared" si="25"/>
        <v>472966.7036274001</v>
      </c>
      <c r="K92">
        <f t="shared" si="25"/>
        <v>465336.37066367408</v>
      </c>
      <c r="L92">
        <f t="shared" si="25"/>
        <v>334029.73437031079</v>
      </c>
      <c r="M92">
        <f t="shared" si="25"/>
        <v>215006.03171401389</v>
      </c>
      <c r="N92">
        <f t="shared" si="25"/>
        <v>107028.49203115399</v>
      </c>
    </row>
    <row r="93" spans="2:14" x14ac:dyDescent="0.3">
      <c r="B93" s="25"/>
      <c r="C93" s="17">
        <f t="shared" si="19"/>
        <v>401391.7860037284</v>
      </c>
      <c r="D93">
        <f t="shared" si="21"/>
        <v>-1379000</v>
      </c>
      <c r="E93">
        <f t="shared" ref="E93:N93" si="26">-E$57+E$58-E82-E$47</f>
        <v>450000</v>
      </c>
      <c r="F93">
        <f t="shared" si="26"/>
        <v>478500</v>
      </c>
      <c r="G93">
        <f t="shared" si="26"/>
        <v>470925</v>
      </c>
      <c r="H93">
        <f t="shared" si="26"/>
        <v>463274.25</v>
      </c>
      <c r="I93">
        <f t="shared" si="26"/>
        <v>455546.99250000017</v>
      </c>
      <c r="J93">
        <f t="shared" si="26"/>
        <v>447742.46242500003</v>
      </c>
      <c r="K93">
        <f t="shared" si="26"/>
        <v>439859.88704925007</v>
      </c>
      <c r="L93">
        <f t="shared" si="26"/>
        <v>308298.48591974261</v>
      </c>
      <c r="M93">
        <f t="shared" si="26"/>
        <v>189017.47077894001</v>
      </c>
      <c r="N93">
        <f t="shared" si="26"/>
        <v>80780.045486729359</v>
      </c>
    </row>
    <row r="94" spans="2:14" x14ac:dyDescent="0.3">
      <c r="B94" s="25"/>
      <c r="C94" s="17">
        <f t="shared" si="19"/>
        <v>297611.06687584077</v>
      </c>
      <c r="D94">
        <f t="shared" si="21"/>
        <v>-1379000</v>
      </c>
      <c r="E94">
        <f t="shared" ref="E94:N94" si="27">-E$57+E$58-E83-E$47</f>
        <v>426000</v>
      </c>
      <c r="F94">
        <f t="shared" si="27"/>
        <v>454260</v>
      </c>
      <c r="G94">
        <f t="shared" si="27"/>
        <v>446442.60000000009</v>
      </c>
      <c r="H94">
        <f t="shared" si="27"/>
        <v>438547.02600000007</v>
      </c>
      <c r="I94">
        <f t="shared" si="27"/>
        <v>430572.49625999993</v>
      </c>
      <c r="J94">
        <f t="shared" si="27"/>
        <v>422518.22122259997</v>
      </c>
      <c r="K94">
        <f t="shared" si="27"/>
        <v>414383.40343482594</v>
      </c>
      <c r="L94">
        <f t="shared" si="27"/>
        <v>282567.2374691742</v>
      </c>
      <c r="M94">
        <f t="shared" si="27"/>
        <v>163028.9098438659</v>
      </c>
      <c r="N94">
        <f t="shared" si="27"/>
        <v>54531.598942304496</v>
      </c>
    </row>
    <row r="95" spans="2:14" x14ac:dyDescent="0.3">
      <c r="B95" s="25"/>
      <c r="C95" s="17">
        <f t="shared" si="19"/>
        <v>193830.34774795314</v>
      </c>
      <c r="D95">
        <f t="shared" si="21"/>
        <v>-1379000</v>
      </c>
      <c r="E95">
        <f t="shared" ref="E95:N95" si="28">-E$57+E$58-E84-E$47</f>
        <v>402000</v>
      </c>
      <c r="F95">
        <f t="shared" si="28"/>
        <v>430020</v>
      </c>
      <c r="G95">
        <f t="shared" si="28"/>
        <v>421960.19999999995</v>
      </c>
      <c r="H95">
        <f t="shared" si="28"/>
        <v>413819.80199999991</v>
      </c>
      <c r="I95">
        <f t="shared" si="28"/>
        <v>405598.00001999992</v>
      </c>
      <c r="J95">
        <f t="shared" si="28"/>
        <v>397293.9800201999</v>
      </c>
      <c r="K95">
        <f t="shared" si="28"/>
        <v>388906.91982040193</v>
      </c>
      <c r="L95">
        <f t="shared" si="28"/>
        <v>256835.98901860591</v>
      </c>
      <c r="M95">
        <f t="shared" si="28"/>
        <v>137040.3489087919</v>
      </c>
      <c r="N95">
        <f t="shared" si="28"/>
        <v>28283.152397879865</v>
      </c>
    </row>
    <row r="96" spans="2:14" x14ac:dyDescent="0.3">
      <c r="B96" s="25"/>
      <c r="C96" s="17">
        <f t="shared" si="19"/>
        <v>90049.628620065749</v>
      </c>
      <c r="D96">
        <f t="shared" si="21"/>
        <v>-1379000</v>
      </c>
      <c r="E96">
        <f t="shared" ref="E96:N96" si="29">-E$57+E$58-E85-E$47</f>
        <v>378000</v>
      </c>
      <c r="F96">
        <f t="shared" si="29"/>
        <v>405780</v>
      </c>
      <c r="G96">
        <f t="shared" si="29"/>
        <v>397477.80000000005</v>
      </c>
      <c r="H96">
        <f t="shared" si="29"/>
        <v>389092.5780000001</v>
      </c>
      <c r="I96">
        <f t="shared" si="29"/>
        <v>380623.50378000014</v>
      </c>
      <c r="J96">
        <f t="shared" si="29"/>
        <v>372069.73881780019</v>
      </c>
      <c r="K96">
        <f t="shared" si="29"/>
        <v>363430.43620597816</v>
      </c>
      <c r="L96">
        <f t="shared" si="29"/>
        <v>231104.74056803796</v>
      </c>
      <c r="M96">
        <f t="shared" si="29"/>
        <v>111051.78797371837</v>
      </c>
      <c r="N96">
        <f t="shared" si="29"/>
        <v>2034.7058534555836</v>
      </c>
    </row>
    <row r="97" spans="2:14" x14ac:dyDescent="0.3">
      <c r="B97" s="25"/>
      <c r="C97" s="16">
        <f>D97+NPV(20%,E97:N97)</f>
        <v>1.3731090351939201E-2</v>
      </c>
      <c r="D97">
        <f t="shared" si="21"/>
        <v>-1379000</v>
      </c>
      <c r="E97">
        <f t="shared" ref="E97:N97" si="30">-E$57+E$58-E86-E$47</f>
        <v>357175.41162272927</v>
      </c>
      <c r="F97">
        <f t="shared" si="30"/>
        <v>384747.16573895654</v>
      </c>
      <c r="G97">
        <f t="shared" si="30"/>
        <v>376234.63739634608</v>
      </c>
      <c r="H97">
        <f t="shared" si="30"/>
        <v>367636.98377030948</v>
      </c>
      <c r="I97">
        <f t="shared" si="30"/>
        <v>358953.35360801255</v>
      </c>
      <c r="J97">
        <f t="shared" si="30"/>
        <v>350182.8871440927</v>
      </c>
      <c r="K97">
        <f t="shared" si="30"/>
        <v>341324.71601553366</v>
      </c>
      <c r="L97">
        <f t="shared" si="30"/>
        <v>208777.96317568899</v>
      </c>
      <c r="M97">
        <f t="shared" si="30"/>
        <v>88501.742807445815</v>
      </c>
      <c r="N97">
        <f t="shared" si="30"/>
        <v>-20740.839764479781</v>
      </c>
    </row>
    <row r="98" spans="2:14" x14ac:dyDescent="0.3">
      <c r="B98" s="25" t="s">
        <v>47</v>
      </c>
      <c r="C98" s="15">
        <f>-PMT(20%,10,C88)</f>
        <v>170003.26510075212</v>
      </c>
      <c r="E98" s="22" t="s">
        <v>43</v>
      </c>
      <c r="F98" s="13">
        <f>IRR(D88:N88)</f>
        <v>0.35686237222909867</v>
      </c>
    </row>
    <row r="99" spans="2:14" x14ac:dyDescent="0.3">
      <c r="B99" s="25"/>
      <c r="C99" s="15">
        <f t="shared" ref="C99:C107" si="31">-PMT(20%,10,C89)</f>
        <v>157626.23348191741</v>
      </c>
      <c r="E99" s="23"/>
      <c r="F99" s="13">
        <f t="shared" ref="F99:F107" si="32">IRR(D89:N89)</f>
        <v>0.34640850951725044</v>
      </c>
    </row>
    <row r="100" spans="2:14" x14ac:dyDescent="0.3">
      <c r="B100" s="25"/>
      <c r="C100" s="15">
        <f t="shared" si="31"/>
        <v>145249.20186308291</v>
      </c>
      <c r="E100" s="23"/>
      <c r="F100" s="13">
        <f t="shared" si="32"/>
        <v>0.33584987041761605</v>
      </c>
    </row>
    <row r="101" spans="2:14" x14ac:dyDescent="0.3">
      <c r="B101" s="25"/>
      <c r="C101" s="15">
        <f t="shared" si="31"/>
        <v>132872.17024424786</v>
      </c>
      <c r="E101" s="23"/>
      <c r="F101" s="13">
        <f t="shared" si="32"/>
        <v>0.32517805980341441</v>
      </c>
    </row>
    <row r="102" spans="2:14" x14ac:dyDescent="0.3">
      <c r="B102" s="25"/>
      <c r="C102" s="15">
        <f t="shared" si="31"/>
        <v>120495.13862541318</v>
      </c>
      <c r="E102" s="23"/>
      <c r="F102" s="13">
        <f t="shared" si="32"/>
        <v>0.31438374005774961</v>
      </c>
    </row>
    <row r="103" spans="2:14" x14ac:dyDescent="0.3">
      <c r="B103" s="25"/>
      <c r="C103" s="15">
        <f t="shared" si="31"/>
        <v>95741.075387743942</v>
      </c>
      <c r="E103" s="23"/>
      <c r="F103" s="13">
        <f t="shared" si="32"/>
        <v>0.29238459926320615</v>
      </c>
    </row>
    <row r="104" spans="2:14" x14ac:dyDescent="0.3">
      <c r="B104" s="25"/>
      <c r="C104" s="15">
        <f t="shared" si="31"/>
        <v>70987.012150074501</v>
      </c>
      <c r="E104" s="23"/>
      <c r="F104" s="13">
        <f t="shared" si="32"/>
        <v>0.26975249412169222</v>
      </c>
    </row>
    <row r="105" spans="2:14" x14ac:dyDescent="0.3">
      <c r="B105" s="25"/>
      <c r="C105" s="15">
        <f t="shared" si="31"/>
        <v>46232.948912405074</v>
      </c>
      <c r="E105" s="23"/>
      <c r="F105" s="13">
        <f t="shared" si="32"/>
        <v>0.24635901671935789</v>
      </c>
    </row>
    <row r="106" spans="2:14" x14ac:dyDescent="0.3">
      <c r="B106" s="25"/>
      <c r="C106" s="15">
        <f t="shared" si="31"/>
        <v>21478.885674735699</v>
      </c>
      <c r="E106" s="23"/>
      <c r="F106" s="13">
        <f t="shared" si="32"/>
        <v>0.22203511813781862</v>
      </c>
    </row>
    <row r="107" spans="2:14" x14ac:dyDescent="0.3">
      <c r="B107" s="25"/>
      <c r="C107" s="15">
        <f t="shared" si="31"/>
        <v>3.2751775257521668E-3</v>
      </c>
      <c r="E107" s="23"/>
      <c r="F107" s="13">
        <f t="shared" si="32"/>
        <v>0.20000000343604851</v>
      </c>
    </row>
    <row r="108" spans="2:14" x14ac:dyDescent="0.3">
      <c r="C108" s="15"/>
    </row>
    <row r="115" spans="2:14" x14ac:dyDescent="0.3">
      <c r="D115" s="26" t="s">
        <v>50</v>
      </c>
      <c r="E115" s="26"/>
      <c r="F115" s="26"/>
      <c r="G115" s="26"/>
      <c r="H115" s="26"/>
      <c r="I115" s="26"/>
      <c r="J115" s="26"/>
    </row>
    <row r="116" spans="2:14" x14ac:dyDescent="0.3">
      <c r="D116">
        <v>50</v>
      </c>
      <c r="E116">
        <v>75</v>
      </c>
      <c r="F116">
        <v>100</v>
      </c>
      <c r="G116">
        <v>125</v>
      </c>
      <c r="H116">
        <v>150</v>
      </c>
      <c r="I116">
        <v>175</v>
      </c>
      <c r="J116">
        <v>200</v>
      </c>
    </row>
    <row r="117" spans="2:14" x14ac:dyDescent="0.3">
      <c r="B117" s="18" t="s">
        <v>51</v>
      </c>
      <c r="C117">
        <v>30</v>
      </c>
      <c r="D117">
        <f>D116*$C$117</f>
        <v>1500</v>
      </c>
      <c r="E117">
        <f t="shared" ref="E117:J117" si="33">E116*$C$117</f>
        <v>2250</v>
      </c>
      <c r="F117">
        <f t="shared" si="33"/>
        <v>3000</v>
      </c>
      <c r="G117">
        <f t="shared" si="33"/>
        <v>3750</v>
      </c>
      <c r="H117">
        <f t="shared" si="33"/>
        <v>4500</v>
      </c>
      <c r="I117">
        <f t="shared" si="33"/>
        <v>5250</v>
      </c>
      <c r="J117">
        <f t="shared" si="33"/>
        <v>6000</v>
      </c>
    </row>
    <row r="118" spans="2:14" x14ac:dyDescent="0.3">
      <c r="B118" s="18"/>
    </row>
    <row r="119" spans="2:14" x14ac:dyDescent="0.3">
      <c r="B119" s="20" t="s">
        <v>21</v>
      </c>
      <c r="D119">
        <v>450000</v>
      </c>
      <c r="E119">
        <f t="shared" ref="E119:J119" si="34">E117*300</f>
        <v>675000</v>
      </c>
      <c r="F119">
        <f t="shared" si="34"/>
        <v>900000</v>
      </c>
      <c r="G119">
        <f t="shared" si="34"/>
        <v>1125000</v>
      </c>
      <c r="H119">
        <f t="shared" si="34"/>
        <v>1350000</v>
      </c>
      <c r="I119">
        <f t="shared" si="34"/>
        <v>1575000</v>
      </c>
      <c r="J119">
        <f t="shared" si="34"/>
        <v>1800000</v>
      </c>
    </row>
    <row r="120" spans="2:14" x14ac:dyDescent="0.3">
      <c r="B120" s="18"/>
    </row>
    <row r="121" spans="2:14" x14ac:dyDescent="0.3">
      <c r="B121" s="18"/>
    </row>
    <row r="122" spans="2:14" x14ac:dyDescent="0.3">
      <c r="B122" s="2" t="s">
        <v>20</v>
      </c>
      <c r="D122">
        <v>0</v>
      </c>
      <c r="E122">
        <v>1</v>
      </c>
      <c r="F122">
        <v>2</v>
      </c>
      <c r="G122">
        <v>3</v>
      </c>
      <c r="H122">
        <v>4</v>
      </c>
      <c r="I122">
        <v>5</v>
      </c>
      <c r="J122">
        <v>6</v>
      </c>
      <c r="K122">
        <v>7</v>
      </c>
      <c r="L122">
        <v>8</v>
      </c>
      <c r="M122">
        <v>9</v>
      </c>
      <c r="N122">
        <v>10</v>
      </c>
    </row>
    <row r="123" spans="2:14" x14ac:dyDescent="0.3">
      <c r="B123" s="21" t="s">
        <v>54</v>
      </c>
      <c r="D123">
        <v>-1379000</v>
      </c>
      <c r="E123">
        <f>$D$119-E59</f>
        <v>-828000</v>
      </c>
      <c r="F123">
        <f t="shared" ref="F123:N123" si="35">$D$119-F59</f>
        <v>-852780</v>
      </c>
      <c r="G123">
        <f t="shared" si="35"/>
        <v>-859627.8</v>
      </c>
      <c r="H123">
        <f t="shared" si="35"/>
        <v>-866544.07800000021</v>
      </c>
      <c r="I123">
        <f t="shared" si="35"/>
        <v>-873529.51878000004</v>
      </c>
      <c r="J123">
        <f t="shared" si="35"/>
        <v>-880584.81396780023</v>
      </c>
      <c r="K123">
        <f t="shared" si="35"/>
        <v>-887710.66210747813</v>
      </c>
      <c r="L123">
        <f t="shared" si="35"/>
        <v>-833107.76872855285</v>
      </c>
      <c r="M123">
        <f t="shared" si="35"/>
        <v>-784756.84641583846</v>
      </c>
      <c r="N123">
        <f t="shared" si="35"/>
        <v>-742040.61487999698</v>
      </c>
    </row>
    <row r="124" spans="2:14" x14ac:dyDescent="0.3">
      <c r="B124" s="21"/>
      <c r="D124">
        <v>-1379000</v>
      </c>
      <c r="E124">
        <f>$E$119-E59</f>
        <v>-603000</v>
      </c>
      <c r="F124">
        <f t="shared" ref="F124:N124" si="36">$E$119-F59</f>
        <v>-627780</v>
      </c>
      <c r="G124">
        <f t="shared" si="36"/>
        <v>-634627.80000000005</v>
      </c>
      <c r="H124">
        <f t="shared" si="36"/>
        <v>-641544.07800000021</v>
      </c>
      <c r="I124">
        <f t="shared" si="36"/>
        <v>-648529.51878000004</v>
      </c>
      <c r="J124">
        <f t="shared" si="36"/>
        <v>-655584.81396780023</v>
      </c>
      <c r="K124">
        <f t="shared" si="36"/>
        <v>-662710.66210747813</v>
      </c>
      <c r="L124">
        <f t="shared" si="36"/>
        <v>-608107.76872855285</v>
      </c>
      <c r="M124">
        <f t="shared" si="36"/>
        <v>-559756.84641583846</v>
      </c>
      <c r="N124">
        <f t="shared" si="36"/>
        <v>-517040.61487999698</v>
      </c>
    </row>
    <row r="125" spans="2:14" x14ac:dyDescent="0.3">
      <c r="B125" s="21"/>
      <c r="D125">
        <v>-1379000</v>
      </c>
      <c r="E125">
        <f>$F$119-E59</f>
        <v>-378000</v>
      </c>
      <c r="F125">
        <f t="shared" ref="F125:N125" si="37">$F$119-F59</f>
        <v>-402780</v>
      </c>
      <c r="G125">
        <f t="shared" si="37"/>
        <v>-409627.80000000005</v>
      </c>
      <c r="H125">
        <f t="shared" si="37"/>
        <v>-416544.07800000021</v>
      </c>
      <c r="I125">
        <f t="shared" si="37"/>
        <v>-423529.51878000004</v>
      </c>
      <c r="J125">
        <f t="shared" si="37"/>
        <v>-430584.81396780023</v>
      </c>
      <c r="K125">
        <f t="shared" si="37"/>
        <v>-437710.66210747813</v>
      </c>
      <c r="L125">
        <f t="shared" si="37"/>
        <v>-383107.76872855285</v>
      </c>
      <c r="M125">
        <f t="shared" si="37"/>
        <v>-334756.84641583846</v>
      </c>
      <c r="N125">
        <f t="shared" si="37"/>
        <v>-292040.61487999698</v>
      </c>
    </row>
    <row r="126" spans="2:14" x14ac:dyDescent="0.3">
      <c r="B126" s="21"/>
      <c r="D126">
        <v>-1379000</v>
      </c>
      <c r="E126">
        <f>$G$119-E59</f>
        <v>-153000</v>
      </c>
      <c r="F126">
        <f t="shared" ref="F126:N126" si="38">$G$119-F59</f>
        <v>-177780</v>
      </c>
      <c r="G126">
        <f t="shared" si="38"/>
        <v>-184627.80000000005</v>
      </c>
      <c r="H126">
        <f t="shared" si="38"/>
        <v>-191544.07800000021</v>
      </c>
      <c r="I126">
        <f t="shared" si="38"/>
        <v>-198529.51878000004</v>
      </c>
      <c r="J126">
        <f t="shared" si="38"/>
        <v>-205584.81396780023</v>
      </c>
      <c r="K126">
        <f t="shared" si="38"/>
        <v>-212710.66210747813</v>
      </c>
      <c r="L126">
        <f t="shared" si="38"/>
        <v>-158107.76872855285</v>
      </c>
      <c r="M126">
        <f t="shared" si="38"/>
        <v>-109756.84641583846</v>
      </c>
      <c r="N126">
        <f t="shared" si="38"/>
        <v>-67040.614879996981</v>
      </c>
    </row>
    <row r="127" spans="2:14" x14ac:dyDescent="0.3">
      <c r="B127" s="21"/>
      <c r="D127">
        <v>-1379000</v>
      </c>
      <c r="E127">
        <f>$H$119-E59</f>
        <v>72000</v>
      </c>
      <c r="F127">
        <f t="shared" ref="F127:N127" si="39">$H$119-F59</f>
        <v>47220</v>
      </c>
      <c r="G127">
        <f t="shared" si="39"/>
        <v>40372.199999999953</v>
      </c>
      <c r="H127">
        <f t="shared" si="39"/>
        <v>33455.921999999788</v>
      </c>
      <c r="I127">
        <f t="shared" si="39"/>
        <v>26470.481219999958</v>
      </c>
      <c r="J127">
        <f t="shared" si="39"/>
        <v>19415.186032199766</v>
      </c>
      <c r="K127">
        <f t="shared" si="39"/>
        <v>12289.337892521871</v>
      </c>
      <c r="L127">
        <f t="shared" si="39"/>
        <v>66892.231271447148</v>
      </c>
      <c r="M127">
        <f t="shared" si="39"/>
        <v>115243.15358416154</v>
      </c>
      <c r="N127">
        <f t="shared" si="39"/>
        <v>157959.38512000302</v>
      </c>
    </row>
    <row r="128" spans="2:14" x14ac:dyDescent="0.3">
      <c r="B128" s="21"/>
      <c r="D128">
        <v>-1379000</v>
      </c>
      <c r="E128">
        <f>$I$119-E59</f>
        <v>297000</v>
      </c>
      <c r="F128">
        <f t="shared" ref="F128:N128" si="40">$I$119-F59</f>
        <v>272220</v>
      </c>
      <c r="G128">
        <f t="shared" si="40"/>
        <v>265372.19999999995</v>
      </c>
      <c r="H128">
        <f t="shared" si="40"/>
        <v>258455.92199999979</v>
      </c>
      <c r="I128">
        <f t="shared" si="40"/>
        <v>251470.48121999996</v>
      </c>
      <c r="J128">
        <f t="shared" si="40"/>
        <v>244415.18603219977</v>
      </c>
      <c r="K128">
        <f t="shared" si="40"/>
        <v>237289.33789252187</v>
      </c>
      <c r="L128">
        <f t="shared" si="40"/>
        <v>291892.23127144715</v>
      </c>
      <c r="M128">
        <f t="shared" si="40"/>
        <v>340243.15358416154</v>
      </c>
      <c r="N128">
        <f t="shared" si="40"/>
        <v>382959.38512000302</v>
      </c>
    </row>
    <row r="129" spans="2:14" x14ac:dyDescent="0.3">
      <c r="B129" s="21"/>
      <c r="D129">
        <v>-1379000</v>
      </c>
      <c r="E129">
        <f>$J$119-E59</f>
        <v>522000</v>
      </c>
      <c r="F129">
        <f t="shared" ref="F129:N129" si="41">$J$119-F59</f>
        <v>497220</v>
      </c>
      <c r="G129">
        <f t="shared" si="41"/>
        <v>490372.19999999995</v>
      </c>
      <c r="H129">
        <f t="shared" si="41"/>
        <v>483455.92199999979</v>
      </c>
      <c r="I129">
        <f t="shared" si="41"/>
        <v>476470.48121999996</v>
      </c>
      <c r="J129">
        <f t="shared" si="41"/>
        <v>469415.18603219977</v>
      </c>
      <c r="K129">
        <f t="shared" si="41"/>
        <v>462289.33789252187</v>
      </c>
      <c r="L129">
        <f t="shared" si="41"/>
        <v>516892.23127144715</v>
      </c>
      <c r="M129">
        <f t="shared" si="41"/>
        <v>565243.15358416154</v>
      </c>
      <c r="N129">
        <f t="shared" si="41"/>
        <v>607959.38512000302</v>
      </c>
    </row>
    <row r="130" spans="2:14" x14ac:dyDescent="0.3">
      <c r="B130" s="22" t="s">
        <v>42</v>
      </c>
      <c r="C130" s="14">
        <f>D123+NPV(20%,E123:N123)</f>
        <v>-4935962.5062400848</v>
      </c>
      <c r="D130" s="22" t="s">
        <v>47</v>
      </c>
      <c r="E130" s="15">
        <f>-PMT(20%,10,C130)</f>
        <v>-1177339.384858812</v>
      </c>
      <c r="F130" s="22" t="s">
        <v>43</v>
      </c>
      <c r="G130" s="8" t="e">
        <f>IRR(D123:N123)</f>
        <v>#NUM!</v>
      </c>
    </row>
    <row r="131" spans="2:14" x14ac:dyDescent="0.3">
      <c r="B131" s="22"/>
      <c r="C131" s="14">
        <f t="shared" ref="C131:C136" si="42">D124+NPV(20%,E124:N124)</f>
        <v>-3992656.2869911608</v>
      </c>
      <c r="D131" s="22"/>
      <c r="E131" s="15">
        <f t="shared" ref="E131:E136" si="43">-PMT(20%,10,C131)</f>
        <v>-952339.38485881174</v>
      </c>
      <c r="F131" s="23"/>
      <c r="G131" s="8" t="e">
        <f t="shared" ref="G131:G135" si="44">IRR(D124:N124)</f>
        <v>#NUM!</v>
      </c>
    </row>
    <row r="132" spans="2:14" x14ac:dyDescent="0.3">
      <c r="B132" s="22"/>
      <c r="C132" s="14">
        <f t="shared" si="42"/>
        <v>-3049350.0677422369</v>
      </c>
      <c r="D132" s="22"/>
      <c r="E132" s="15">
        <f t="shared" si="43"/>
        <v>-727339.38485881162</v>
      </c>
      <c r="F132" s="23"/>
      <c r="G132" s="8" t="e">
        <f t="shared" si="44"/>
        <v>#NUM!</v>
      </c>
    </row>
    <row r="133" spans="2:14" x14ac:dyDescent="0.3">
      <c r="B133" s="22"/>
      <c r="C133" s="14">
        <f t="shared" si="42"/>
        <v>-2106043.8484933134</v>
      </c>
      <c r="D133" s="22"/>
      <c r="E133" s="15">
        <f t="shared" si="43"/>
        <v>-502339.38485881157</v>
      </c>
      <c r="F133" s="23"/>
      <c r="G133" s="8" t="e">
        <f>IRR(D126:N126)</f>
        <v>#NUM!</v>
      </c>
    </row>
    <row r="134" spans="2:14" x14ac:dyDescent="0.3">
      <c r="B134" s="22"/>
      <c r="C134" s="14">
        <f t="shared" si="42"/>
        <v>-1162737.6292443895</v>
      </c>
      <c r="D134" s="22"/>
      <c r="E134" s="15">
        <f t="shared" si="43"/>
        <v>-277339.38485881151</v>
      </c>
      <c r="F134" s="23"/>
      <c r="G134" s="8">
        <f t="shared" si="44"/>
        <v>-0.11068436437188278</v>
      </c>
    </row>
    <row r="135" spans="2:14" x14ac:dyDescent="0.3">
      <c r="B135" s="22"/>
      <c r="C135" s="14">
        <f t="shared" si="42"/>
        <v>-219431.40999546577</v>
      </c>
      <c r="D135" s="22"/>
      <c r="E135" s="15">
        <f t="shared" si="43"/>
        <v>-52339.384858811471</v>
      </c>
      <c r="F135" s="23"/>
      <c r="G135" s="8">
        <f t="shared" si="44"/>
        <v>0.15260863559826454</v>
      </c>
    </row>
    <row r="136" spans="2:14" x14ac:dyDescent="0.3">
      <c r="B136" s="22"/>
      <c r="C136" s="14">
        <f t="shared" si="42"/>
        <v>723874.80925345747</v>
      </c>
      <c r="D136" s="22"/>
      <c r="E136" s="15">
        <f t="shared" si="43"/>
        <v>172660.61514118849</v>
      </c>
      <c r="F136" s="23"/>
      <c r="G136" s="8">
        <f>IRR(D129:N129)</f>
        <v>0.34433278276306312</v>
      </c>
    </row>
    <row r="137" spans="2:14" x14ac:dyDescent="0.3">
      <c r="C137" s="19"/>
    </row>
    <row r="138" spans="2:14" x14ac:dyDescent="0.3">
      <c r="C138" s="19"/>
    </row>
  </sheetData>
  <mergeCells count="19">
    <mergeCell ref="B5:C6"/>
    <mergeCell ref="B15:C16"/>
    <mergeCell ref="E25:F25"/>
    <mergeCell ref="B77:B86"/>
    <mergeCell ref="D75:N75"/>
    <mergeCell ref="G25:K25"/>
    <mergeCell ref="L25:N25"/>
    <mergeCell ref="B31:C32"/>
    <mergeCell ref="B53:C54"/>
    <mergeCell ref="B68:C69"/>
    <mergeCell ref="B123:B129"/>
    <mergeCell ref="B130:B136"/>
    <mergeCell ref="D130:D136"/>
    <mergeCell ref="F130:F136"/>
    <mergeCell ref="D87:N87"/>
    <mergeCell ref="B88:B97"/>
    <mergeCell ref="B98:B107"/>
    <mergeCell ref="D115:J115"/>
    <mergeCell ref="E98:E10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38161-8A9F-43A3-970E-30F4C485B4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泽辉</dc:creator>
  <cp:lastModifiedBy>泽辉</cp:lastModifiedBy>
  <dcterms:created xsi:type="dcterms:W3CDTF">2024-05-21T11:53:37Z</dcterms:created>
  <dcterms:modified xsi:type="dcterms:W3CDTF">2024-05-22T14:25:30Z</dcterms:modified>
</cp:coreProperties>
</file>