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7\Desktop\"/>
    </mc:Choice>
  </mc:AlternateContent>
  <xr:revisionPtr revIDLastSave="0" documentId="13_ncr:1_{B2CAC672-83FE-400A-8EA8-9715C21AB04A}" xr6:coauthVersionLast="47" xr6:coauthVersionMax="47" xr10:uidLastSave="{00000000-0000-0000-0000-000000000000}"/>
  <bookViews>
    <workbookView xWindow="-110" yWindow="-110" windowWidth="25820" windowHeight="13900" xr2:uid="{6FC6369D-25E1-48BC-93BA-0ED0545E8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22" i="1"/>
  <c r="C60" i="1"/>
  <c r="C56" i="1"/>
  <c r="F34" i="1"/>
  <c r="G34" i="1" s="1"/>
  <c r="H34" i="1" s="1"/>
  <c r="I34" i="1" s="1"/>
  <c r="J34" i="1" s="1"/>
  <c r="K34" i="1" s="1"/>
  <c r="L34" i="1" s="1"/>
  <c r="M34" i="1" s="1"/>
  <c r="E34" i="1"/>
  <c r="D34" i="1"/>
  <c r="D31" i="1"/>
  <c r="E29" i="1"/>
  <c r="F29" i="1"/>
  <c r="D13" i="1"/>
  <c r="E7" i="1"/>
  <c r="D9" i="1" s="1"/>
  <c r="F7" i="1"/>
  <c r="G7" i="1"/>
  <c r="H7" i="1"/>
  <c r="J7" i="1"/>
  <c r="D7" i="1"/>
  <c r="I5" i="1"/>
  <c r="I7" i="1" s="1"/>
  <c r="E22" i="1" l="1"/>
  <c r="D57" i="1"/>
  <c r="D24" i="1"/>
  <c r="D44" i="1" s="1"/>
  <c r="D45" i="1" s="1"/>
  <c r="D49" i="1" s="1"/>
  <c r="D58" i="1" s="1"/>
  <c r="D60" i="1" l="1"/>
  <c r="F22" i="1"/>
  <c r="E57" i="1"/>
  <c r="E60" i="1" s="1"/>
  <c r="E24" i="1"/>
  <c r="E44" i="1" s="1"/>
  <c r="E45" i="1" s="1"/>
  <c r="E49" i="1" s="1"/>
  <c r="E58" i="1" s="1"/>
  <c r="F24" i="1" l="1"/>
  <c r="F44" i="1" s="1"/>
  <c r="F45" i="1" s="1"/>
  <c r="F49" i="1" s="1"/>
  <c r="F58" i="1" s="1"/>
  <c r="G22" i="1"/>
  <c r="F57" i="1"/>
  <c r="F60" i="1" l="1"/>
  <c r="H22" i="1"/>
  <c r="G24" i="1"/>
  <c r="G44" i="1" s="1"/>
  <c r="G45" i="1" s="1"/>
  <c r="G49" i="1" s="1"/>
  <c r="G58" i="1" s="1"/>
  <c r="G57" i="1"/>
  <c r="I22" i="1" l="1"/>
  <c r="H57" i="1"/>
  <c r="H24" i="1"/>
  <c r="H44" i="1" s="1"/>
  <c r="H45" i="1" s="1"/>
  <c r="H49" i="1" s="1"/>
  <c r="H58" i="1" s="1"/>
  <c r="G60" i="1"/>
  <c r="H60" i="1" l="1"/>
  <c r="J22" i="1"/>
  <c r="I57" i="1"/>
  <c r="I60" i="1" s="1"/>
  <c r="I24" i="1"/>
  <c r="I44" i="1" s="1"/>
  <c r="I45" i="1" s="1"/>
  <c r="I49" i="1" s="1"/>
  <c r="I58" i="1" s="1"/>
  <c r="J57" i="1" l="1"/>
  <c r="J24" i="1"/>
  <c r="J44" i="1" s="1"/>
  <c r="J45" i="1" s="1"/>
  <c r="J49" i="1" s="1"/>
  <c r="J58" i="1" s="1"/>
  <c r="K22" i="1"/>
  <c r="J60" i="1" l="1"/>
  <c r="K57" i="1"/>
  <c r="K24" i="1"/>
  <c r="K44" i="1" s="1"/>
  <c r="K45" i="1" s="1"/>
  <c r="K49" i="1" s="1"/>
  <c r="K58" i="1" s="1"/>
  <c r="L22" i="1"/>
  <c r="K60" i="1" l="1"/>
  <c r="M22" i="1"/>
  <c r="L24" i="1"/>
  <c r="L44" i="1" s="1"/>
  <c r="L45" i="1" s="1"/>
  <c r="L49" i="1" s="1"/>
  <c r="L58" i="1" s="1"/>
  <c r="L57" i="1"/>
  <c r="L60" i="1" l="1"/>
  <c r="M24" i="1"/>
  <c r="M44" i="1" s="1"/>
  <c r="M45" i="1" s="1"/>
  <c r="M49" i="1" s="1"/>
  <c r="M58" i="1" s="1"/>
  <c r="M57" i="1"/>
  <c r="M60" i="1" s="1"/>
  <c r="C64" i="1" s="1"/>
  <c r="C63" i="1" l="1"/>
</calcChain>
</file>

<file path=xl/sharedStrings.xml><?xml version="1.0" encoding="utf-8"?>
<sst xmlns="http://schemas.openxmlformats.org/spreadsheetml/2006/main" count="55" uniqueCount="49">
  <si>
    <t>投资估算</t>
  </si>
  <si>
    <t>要素</t>
  </si>
  <si>
    <t>店面</t>
  </si>
  <si>
    <t>桌子</t>
  </si>
  <si>
    <t>椅子</t>
  </si>
  <si>
    <t>厨房设备</t>
  </si>
  <si>
    <t>装修</t>
  </si>
  <si>
    <t>安装工人工资</t>
  </si>
  <si>
    <t>其他</t>
  </si>
  <si>
    <t>数量</t>
  </si>
  <si>
    <t>价格</t>
  </si>
  <si>
    <t>汇总要素</t>
  </si>
  <si>
    <t>总投资</t>
  </si>
  <si>
    <t>经营期收入</t>
  </si>
  <si>
    <t>日均顾客数量</t>
  </si>
  <si>
    <t>线下</t>
  </si>
  <si>
    <t>线上</t>
  </si>
  <si>
    <t>年营收</t>
  </si>
  <si>
    <t>首年营收</t>
  </si>
  <si>
    <t>年份</t>
  </si>
  <si>
    <t>增长期，3%</t>
  </si>
  <si>
    <t>稳定期，0%</t>
  </si>
  <si>
    <t>衰退，-10%</t>
  </si>
  <si>
    <t>经营期成本估算</t>
  </si>
  <si>
    <t>固定成本</t>
  </si>
  <si>
    <t>房租</t>
  </si>
  <si>
    <t>工人工资</t>
  </si>
  <si>
    <t>其他固定成本</t>
  </si>
  <si>
    <t>总固定成本</t>
  </si>
  <si>
    <t>变动成本</t>
  </si>
  <si>
    <t>单位变动成本</t>
  </si>
  <si>
    <t>需求数</t>
  </si>
  <si>
    <t>需求</t>
  </si>
  <si>
    <t>总变动成本</t>
  </si>
  <si>
    <t>总成本</t>
  </si>
  <si>
    <t>项目投资经济性分析：</t>
  </si>
  <si>
    <t>营业收入</t>
  </si>
  <si>
    <t>营业成本</t>
  </si>
  <si>
    <t>NCF</t>
  </si>
  <si>
    <t>NPV</t>
  </si>
  <si>
    <t>IRR</t>
  </si>
  <si>
    <t>投资回收期</t>
    <phoneticPr fontId="5" type="noConversion"/>
  </si>
  <si>
    <t>敏感性分析</t>
    <phoneticPr fontId="5" type="noConversion"/>
  </si>
  <si>
    <t>日均需求</t>
    <phoneticPr fontId="5" type="noConversion"/>
  </si>
  <si>
    <t>IRR</t>
    <phoneticPr fontId="5" type="noConversion"/>
  </si>
  <si>
    <t>P=25</t>
    <phoneticPr fontId="5" type="noConversion"/>
  </si>
  <si>
    <t>P=20</t>
    <phoneticPr fontId="5" type="noConversion"/>
  </si>
  <si>
    <t>P=30</t>
    <phoneticPr fontId="5" type="noConversion"/>
  </si>
  <si>
    <t>人均消费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</si>
</sst>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6"/>
      <color rgb="FF0000CC"/>
      <name val="黑体"/>
      <family val="3"/>
      <charset val="134"/>
    </font>
    <font>
      <b/>
      <sz val="16"/>
      <color rgb="FFD60093"/>
      <name val="汉仪中圆简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indent="8" readingOrder="1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2" borderId="0" xfId="0" applyFont="1" applyFill="1"/>
    <xf numFmtId="0" fontId="4" fillId="0" borderId="0" xfId="0" applyNumberFormat="1" applyFont="1"/>
    <xf numFmtId="10" fontId="4" fillId="0" borderId="0" xfId="0" applyNumberFormat="1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AE19-D415-48F0-88A1-5E3F58990BA6}">
  <dimension ref="A1:M72"/>
  <sheetViews>
    <sheetView tabSelected="1" topLeftCell="A61" zoomScale="175" zoomScaleNormal="175" workbookViewId="0">
      <selection activeCell="K69" sqref="K69"/>
    </sheetView>
  </sheetViews>
  <sheetFormatPr defaultRowHeight="14"/>
  <cols>
    <col min="3" max="3" width="19.75" bestFit="1" customWidth="1"/>
    <col min="9" max="9" width="12.5" bestFit="1" customWidth="1"/>
  </cols>
  <sheetData>
    <row r="1" spans="1:10" ht="21">
      <c r="A1" s="1"/>
    </row>
    <row r="3" spans="1:10" ht="21">
      <c r="A3" s="2" t="s">
        <v>0</v>
      </c>
    </row>
    <row r="4" spans="1:10"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1:10">
      <c r="C5" t="s">
        <v>9</v>
      </c>
      <c r="D5">
        <v>1</v>
      </c>
      <c r="E5">
        <v>8</v>
      </c>
      <c r="F5">
        <v>16</v>
      </c>
      <c r="G5">
        <v>1</v>
      </c>
      <c r="H5">
        <v>1</v>
      </c>
      <c r="I5">
        <f>4*2</f>
        <v>8</v>
      </c>
      <c r="J5">
        <v>1</v>
      </c>
    </row>
    <row r="6" spans="1:10">
      <c r="C6" t="s">
        <v>10</v>
      </c>
      <c r="D6">
        <v>80000</v>
      </c>
      <c r="E6">
        <v>500</v>
      </c>
      <c r="F6">
        <v>100</v>
      </c>
      <c r="G6">
        <v>80000</v>
      </c>
      <c r="H6">
        <v>100000</v>
      </c>
      <c r="I6">
        <v>8000</v>
      </c>
      <c r="J6">
        <v>100000</v>
      </c>
    </row>
    <row r="7" spans="1:10">
      <c r="C7" t="s">
        <v>11</v>
      </c>
      <c r="D7">
        <f>D6*D5</f>
        <v>80000</v>
      </c>
      <c r="E7">
        <f t="shared" ref="E7:J7" si="0">E6*E5</f>
        <v>4000</v>
      </c>
      <c r="F7">
        <f t="shared" si="0"/>
        <v>1600</v>
      </c>
      <c r="G7">
        <f t="shared" si="0"/>
        <v>80000</v>
      </c>
      <c r="H7">
        <f t="shared" si="0"/>
        <v>100000</v>
      </c>
      <c r="I7">
        <f t="shared" si="0"/>
        <v>64000</v>
      </c>
      <c r="J7">
        <f t="shared" si="0"/>
        <v>100000</v>
      </c>
    </row>
    <row r="9" spans="1:10" s="7" customFormat="1">
      <c r="C9" s="7" t="s">
        <v>12</v>
      </c>
      <c r="D9" s="10">
        <f>SUM(D7:J7)</f>
        <v>429600</v>
      </c>
    </row>
    <row r="12" spans="1:10" ht="21">
      <c r="A12" s="2" t="s">
        <v>13</v>
      </c>
      <c r="E12" t="s">
        <v>15</v>
      </c>
      <c r="F12" t="s">
        <v>16</v>
      </c>
    </row>
    <row r="13" spans="1:10">
      <c r="C13" t="s">
        <v>14</v>
      </c>
      <c r="D13">
        <f>E13+F13</f>
        <v>100</v>
      </c>
      <c r="E13">
        <v>50</v>
      </c>
      <c r="F13">
        <v>50</v>
      </c>
    </row>
    <row r="15" spans="1:10">
      <c r="C15" t="s">
        <v>10</v>
      </c>
      <c r="D15">
        <v>25</v>
      </c>
    </row>
    <row r="17" spans="1:13">
      <c r="C17" t="s">
        <v>18</v>
      </c>
      <c r="D17">
        <f>D13*D15*300</f>
        <v>750000</v>
      </c>
    </row>
    <row r="20" spans="1:13">
      <c r="D20" s="13" t="s">
        <v>20</v>
      </c>
      <c r="E20" s="13"/>
      <c r="F20" s="14" t="s">
        <v>21</v>
      </c>
      <c r="G20" s="14"/>
      <c r="H20" s="14"/>
      <c r="I20" s="14"/>
      <c r="J20" s="14"/>
      <c r="K20" s="15" t="s">
        <v>22</v>
      </c>
      <c r="L20" s="15"/>
      <c r="M20" s="15"/>
    </row>
    <row r="21" spans="1:13">
      <c r="C21" t="s">
        <v>19</v>
      </c>
      <c r="D21" s="4">
        <v>1</v>
      </c>
      <c r="E21" s="4">
        <v>2</v>
      </c>
      <c r="F21" s="5">
        <v>3</v>
      </c>
      <c r="G21" s="5">
        <v>4</v>
      </c>
      <c r="H21" s="5">
        <v>5</v>
      </c>
      <c r="I21" s="5">
        <v>6</v>
      </c>
      <c r="J21" s="5">
        <v>7</v>
      </c>
      <c r="K21" s="3">
        <v>8</v>
      </c>
      <c r="L21" s="3">
        <v>9</v>
      </c>
      <c r="M21" s="3">
        <v>10</v>
      </c>
    </row>
    <row r="22" spans="1:13" s="7" customFormat="1">
      <c r="C22" s="7" t="s">
        <v>17</v>
      </c>
      <c r="D22" s="8">
        <f>D17</f>
        <v>750000</v>
      </c>
      <c r="E22" s="8">
        <f>D22*(1+3%)</f>
        <v>772500</v>
      </c>
      <c r="F22" s="9">
        <f>E22</f>
        <v>772500</v>
      </c>
      <c r="G22" s="9">
        <f t="shared" ref="G22:J22" si="1">F22</f>
        <v>772500</v>
      </c>
      <c r="H22" s="9">
        <f t="shared" si="1"/>
        <v>772500</v>
      </c>
      <c r="I22" s="9">
        <f t="shared" si="1"/>
        <v>772500</v>
      </c>
      <c r="J22" s="9">
        <f t="shared" si="1"/>
        <v>772500</v>
      </c>
      <c r="K22" s="10">
        <f>J22*(1-10%)</f>
        <v>695250</v>
      </c>
      <c r="L22" s="10">
        <f t="shared" ref="L22:M22" si="2">K22*(1-10%)</f>
        <v>625725</v>
      </c>
      <c r="M22" s="10">
        <f t="shared" si="2"/>
        <v>563152.5</v>
      </c>
    </row>
    <row r="24" spans="1:13">
      <c r="C24" t="s">
        <v>31</v>
      </c>
      <c r="D24">
        <f>D22/25</f>
        <v>30000</v>
      </c>
      <c r="E24">
        <f t="shared" ref="E24:M24" si="3">E22/25</f>
        <v>30900</v>
      </c>
      <c r="F24">
        <f t="shared" si="3"/>
        <v>30900</v>
      </c>
      <c r="G24">
        <f t="shared" si="3"/>
        <v>30900</v>
      </c>
      <c r="H24">
        <f t="shared" si="3"/>
        <v>30900</v>
      </c>
      <c r="I24">
        <f t="shared" si="3"/>
        <v>30900</v>
      </c>
      <c r="J24">
        <f t="shared" si="3"/>
        <v>30900</v>
      </c>
      <c r="K24">
        <f t="shared" si="3"/>
        <v>27810</v>
      </c>
      <c r="L24">
        <f t="shared" si="3"/>
        <v>25029</v>
      </c>
      <c r="M24">
        <f t="shared" si="3"/>
        <v>22526.1</v>
      </c>
    </row>
    <row r="26" spans="1:13" ht="21">
      <c r="A26" s="2" t="s">
        <v>23</v>
      </c>
    </row>
    <row r="28" spans="1:13">
      <c r="C28" s="6" t="s">
        <v>24</v>
      </c>
      <c r="E28" t="s">
        <v>25</v>
      </c>
      <c r="F28" t="s">
        <v>26</v>
      </c>
      <c r="G28" t="s">
        <v>27</v>
      </c>
    </row>
    <row r="29" spans="1:13">
      <c r="E29">
        <f>12*8000</f>
        <v>96000</v>
      </c>
      <c r="F29">
        <f>4*5000*12</f>
        <v>240000</v>
      </c>
      <c r="G29">
        <v>30000</v>
      </c>
    </row>
    <row r="31" spans="1:13">
      <c r="C31" t="s">
        <v>28</v>
      </c>
      <c r="D31">
        <f>E29+F29+G29</f>
        <v>366000</v>
      </c>
    </row>
    <row r="33" spans="3:13">
      <c r="C33" t="s">
        <v>19</v>
      </c>
      <c r="D33" s="4">
        <v>1</v>
      </c>
      <c r="E33" s="4">
        <v>2</v>
      </c>
      <c r="F33" s="5">
        <v>3</v>
      </c>
      <c r="G33" s="5">
        <v>4</v>
      </c>
      <c r="H33" s="5">
        <v>5</v>
      </c>
      <c r="I33" s="5">
        <v>6</v>
      </c>
      <c r="J33" s="5">
        <v>7</v>
      </c>
      <c r="K33" s="3">
        <v>8</v>
      </c>
      <c r="L33" s="3">
        <v>9</v>
      </c>
      <c r="M33" s="3">
        <v>10</v>
      </c>
    </row>
    <row r="34" spans="3:13">
      <c r="C34" t="s">
        <v>24</v>
      </c>
      <c r="D34">
        <f>D31</f>
        <v>366000</v>
      </c>
      <c r="E34">
        <f>D34*1.01</f>
        <v>369660</v>
      </c>
      <c r="F34">
        <f t="shared" ref="F34:M34" si="4">E34*1.01</f>
        <v>373356.6</v>
      </c>
      <c r="G34">
        <f t="shared" si="4"/>
        <v>377090.16599999997</v>
      </c>
      <c r="H34">
        <f t="shared" si="4"/>
        <v>380861.06765999994</v>
      </c>
      <c r="I34">
        <f t="shared" si="4"/>
        <v>384669.67833659996</v>
      </c>
      <c r="J34">
        <f t="shared" si="4"/>
        <v>388516.37511996599</v>
      </c>
      <c r="K34">
        <f t="shared" si="4"/>
        <v>392401.53887116566</v>
      </c>
      <c r="L34">
        <f t="shared" si="4"/>
        <v>396325.5542598773</v>
      </c>
      <c r="M34">
        <f t="shared" si="4"/>
        <v>400288.80980247608</v>
      </c>
    </row>
    <row r="39" spans="3:13">
      <c r="C39" s="6" t="s">
        <v>29</v>
      </c>
    </row>
    <row r="41" spans="3:13">
      <c r="D41" t="s">
        <v>30</v>
      </c>
      <c r="E41">
        <v>9</v>
      </c>
    </row>
    <row r="43" spans="3:13">
      <c r="C43" t="s">
        <v>19</v>
      </c>
      <c r="D43" s="4">
        <v>1</v>
      </c>
      <c r="E43" s="4">
        <v>2</v>
      </c>
      <c r="F43" s="5">
        <v>3</v>
      </c>
      <c r="G43" s="5">
        <v>4</v>
      </c>
      <c r="H43" s="5">
        <v>5</v>
      </c>
      <c r="I43" s="5">
        <v>6</v>
      </c>
      <c r="J43" s="5">
        <v>7</v>
      </c>
      <c r="K43" s="3">
        <v>8</v>
      </c>
      <c r="L43" s="3">
        <v>9</v>
      </c>
      <c r="M43" s="3">
        <v>10</v>
      </c>
    </row>
    <row r="44" spans="3:13">
      <c r="C44" t="s">
        <v>32</v>
      </c>
      <c r="D44">
        <f>D24</f>
        <v>30000</v>
      </c>
      <c r="E44">
        <f t="shared" ref="E44:M44" si="5">E24</f>
        <v>30900</v>
      </c>
      <c r="F44">
        <f t="shared" si="5"/>
        <v>30900</v>
      </c>
      <c r="G44">
        <f t="shared" si="5"/>
        <v>30900</v>
      </c>
      <c r="H44">
        <f t="shared" si="5"/>
        <v>30900</v>
      </c>
      <c r="I44">
        <f t="shared" si="5"/>
        <v>30900</v>
      </c>
      <c r="J44">
        <f t="shared" si="5"/>
        <v>30900</v>
      </c>
      <c r="K44">
        <f t="shared" si="5"/>
        <v>27810</v>
      </c>
      <c r="L44">
        <f t="shared" si="5"/>
        <v>25029</v>
      </c>
      <c r="M44">
        <f t="shared" si="5"/>
        <v>22526.1</v>
      </c>
    </row>
    <row r="45" spans="3:13">
      <c r="C45" t="s">
        <v>33</v>
      </c>
      <c r="D45">
        <f>D44*9</f>
        <v>270000</v>
      </c>
      <c r="E45">
        <f t="shared" ref="E45:M45" si="6">E44*9</f>
        <v>278100</v>
      </c>
      <c r="F45">
        <f t="shared" si="6"/>
        <v>278100</v>
      </c>
      <c r="G45">
        <f t="shared" si="6"/>
        <v>278100</v>
      </c>
      <c r="H45">
        <f t="shared" si="6"/>
        <v>278100</v>
      </c>
      <c r="I45">
        <f t="shared" si="6"/>
        <v>278100</v>
      </c>
      <c r="J45">
        <f t="shared" si="6"/>
        <v>278100</v>
      </c>
      <c r="K45">
        <f t="shared" si="6"/>
        <v>250290</v>
      </c>
      <c r="L45">
        <f t="shared" si="6"/>
        <v>225261</v>
      </c>
      <c r="M45">
        <f t="shared" si="6"/>
        <v>202734.9</v>
      </c>
    </row>
    <row r="49" spans="1:13" s="7" customFormat="1">
      <c r="C49" s="7" t="s">
        <v>34</v>
      </c>
      <c r="D49" s="7">
        <f>D45+D34</f>
        <v>636000</v>
      </c>
      <c r="E49" s="7">
        <f t="shared" ref="E49:M49" si="7">E45+E34</f>
        <v>647760</v>
      </c>
      <c r="F49" s="7">
        <f t="shared" si="7"/>
        <v>651456.6</v>
      </c>
      <c r="G49" s="7">
        <f t="shared" si="7"/>
        <v>655190.16599999997</v>
      </c>
      <c r="H49" s="7">
        <f t="shared" si="7"/>
        <v>658961.06765999994</v>
      </c>
      <c r="I49" s="7">
        <f t="shared" si="7"/>
        <v>662769.67833659996</v>
      </c>
      <c r="J49" s="7">
        <f t="shared" si="7"/>
        <v>666616.37511996599</v>
      </c>
      <c r="K49" s="7">
        <f t="shared" si="7"/>
        <v>642691.5388711656</v>
      </c>
      <c r="L49" s="7">
        <f t="shared" si="7"/>
        <v>621586.5542598773</v>
      </c>
      <c r="M49" s="7">
        <f t="shared" si="7"/>
        <v>603023.70980247611</v>
      </c>
    </row>
    <row r="53" spans="1:13" ht="21">
      <c r="A53" s="2" t="s">
        <v>35</v>
      </c>
    </row>
    <row r="55" spans="1:13">
      <c r="B55" t="s">
        <v>19</v>
      </c>
      <c r="C55">
        <v>0</v>
      </c>
      <c r="D55">
        <v>1</v>
      </c>
      <c r="E55">
        <v>2</v>
      </c>
      <c r="F55">
        <v>3</v>
      </c>
      <c r="G55">
        <v>4</v>
      </c>
      <c r="H55">
        <v>5</v>
      </c>
      <c r="I55">
        <v>6</v>
      </c>
      <c r="J55">
        <v>7</v>
      </c>
      <c r="K55">
        <v>8</v>
      </c>
      <c r="L55">
        <v>9</v>
      </c>
      <c r="M55">
        <v>10</v>
      </c>
    </row>
    <row r="56" spans="1:13">
      <c r="B56" t="s">
        <v>12</v>
      </c>
      <c r="C56">
        <f>D9</f>
        <v>429600</v>
      </c>
    </row>
    <row r="57" spans="1:13">
      <c r="B57" t="s">
        <v>36</v>
      </c>
      <c r="D57">
        <f>D22</f>
        <v>750000</v>
      </c>
      <c r="E57">
        <f t="shared" ref="E57:M57" si="8">E22</f>
        <v>772500</v>
      </c>
      <c r="F57">
        <f t="shared" si="8"/>
        <v>772500</v>
      </c>
      <c r="G57">
        <f t="shared" si="8"/>
        <v>772500</v>
      </c>
      <c r="H57">
        <f t="shared" si="8"/>
        <v>772500</v>
      </c>
      <c r="I57">
        <f t="shared" si="8"/>
        <v>772500</v>
      </c>
      <c r="J57">
        <f t="shared" si="8"/>
        <v>772500</v>
      </c>
      <c r="K57">
        <f t="shared" si="8"/>
        <v>695250</v>
      </c>
      <c r="L57">
        <f t="shared" si="8"/>
        <v>625725</v>
      </c>
      <c r="M57">
        <f t="shared" si="8"/>
        <v>563152.5</v>
      </c>
    </row>
    <row r="58" spans="1:13">
      <c r="B58" t="s">
        <v>37</v>
      </c>
      <c r="D58">
        <f>D49</f>
        <v>636000</v>
      </c>
      <c r="E58">
        <f t="shared" ref="E58:M58" si="9">E49</f>
        <v>647760</v>
      </c>
      <c r="F58">
        <f t="shared" si="9"/>
        <v>651456.6</v>
      </c>
      <c r="G58">
        <f t="shared" si="9"/>
        <v>655190.16599999997</v>
      </c>
      <c r="H58">
        <f t="shared" si="9"/>
        <v>658961.06765999994</v>
      </c>
      <c r="I58">
        <f t="shared" si="9"/>
        <v>662769.67833659996</v>
      </c>
      <c r="J58">
        <f t="shared" si="9"/>
        <v>666616.37511996599</v>
      </c>
      <c r="K58">
        <f t="shared" si="9"/>
        <v>642691.5388711656</v>
      </c>
      <c r="L58">
        <f t="shared" si="9"/>
        <v>621586.5542598773</v>
      </c>
      <c r="M58">
        <f t="shared" si="9"/>
        <v>603023.70980247611</v>
      </c>
    </row>
    <row r="60" spans="1:13" s="7" customFormat="1">
      <c r="B60" s="7" t="s">
        <v>38</v>
      </c>
      <c r="C60" s="7">
        <f>C57-C56-C58</f>
        <v>-429600</v>
      </c>
      <c r="D60" s="7">
        <f t="shared" ref="D60:M60" si="10">D57-D56-D58</f>
        <v>114000</v>
      </c>
      <c r="E60" s="7">
        <f t="shared" si="10"/>
        <v>124740</v>
      </c>
      <c r="F60" s="7">
        <f t="shared" si="10"/>
        <v>121043.40000000002</v>
      </c>
      <c r="G60" s="7">
        <f t="shared" si="10"/>
        <v>117309.83400000003</v>
      </c>
      <c r="H60" s="7">
        <f t="shared" si="10"/>
        <v>113538.93234000006</v>
      </c>
      <c r="I60" s="7">
        <f t="shared" si="10"/>
        <v>109730.32166340004</v>
      </c>
      <c r="J60" s="7">
        <f t="shared" si="10"/>
        <v>105883.62488003401</v>
      </c>
      <c r="K60" s="7">
        <f t="shared" si="10"/>
        <v>52558.461128834402</v>
      </c>
      <c r="L60" s="7">
        <f t="shared" si="10"/>
        <v>4138.4457401226973</v>
      </c>
      <c r="M60" s="7">
        <f t="shared" si="10"/>
        <v>-39871.209802476107</v>
      </c>
    </row>
    <row r="63" spans="1:13">
      <c r="B63" s="7" t="s">
        <v>39</v>
      </c>
      <c r="C63" s="11">
        <f>C60+NPV(20%,D60:M60)</f>
        <v>-2840.2632001994061</v>
      </c>
    </row>
    <row r="64" spans="1:13">
      <c r="B64" s="7" t="s">
        <v>40</v>
      </c>
      <c r="C64" s="12">
        <f>IRR(C60:M60)</f>
        <v>0.19757996531412614</v>
      </c>
    </row>
    <row r="65" spans="1:10">
      <c r="B65" s="7" t="s">
        <v>41</v>
      </c>
    </row>
    <row r="68" spans="1:10">
      <c r="A68" t="s">
        <v>42</v>
      </c>
    </row>
    <row r="69" spans="1:10">
      <c r="C69" t="s">
        <v>43</v>
      </c>
      <c r="D69">
        <v>50</v>
      </c>
      <c r="E69">
        <v>60</v>
      </c>
      <c r="F69">
        <v>70</v>
      </c>
      <c r="G69">
        <v>80</v>
      </c>
      <c r="H69">
        <v>90</v>
      </c>
      <c r="I69">
        <v>100</v>
      </c>
      <c r="J69">
        <v>110</v>
      </c>
    </row>
    <row r="70" spans="1:10">
      <c r="A70" t="s">
        <v>48</v>
      </c>
      <c r="B70" t="s">
        <v>45</v>
      </c>
      <c r="C70" t="s">
        <v>44</v>
      </c>
    </row>
    <row r="71" spans="1:10">
      <c r="B71" t="s">
        <v>46</v>
      </c>
    </row>
    <row r="72" spans="1:10">
      <c r="B72" t="s">
        <v>47</v>
      </c>
    </row>
  </sheetData>
  <mergeCells count="3">
    <mergeCell ref="D20:E20"/>
    <mergeCell ref="F20:J20"/>
    <mergeCell ref="K20:M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yi</dc:creator>
  <cp:lastModifiedBy>泽辉</cp:lastModifiedBy>
  <dcterms:created xsi:type="dcterms:W3CDTF">2023-12-14T01:47:04Z</dcterms:created>
  <dcterms:modified xsi:type="dcterms:W3CDTF">2024-05-16T07:03:43Z</dcterms:modified>
</cp:coreProperties>
</file>