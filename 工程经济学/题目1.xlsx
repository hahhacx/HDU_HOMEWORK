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6137\Desktop\"/>
    </mc:Choice>
  </mc:AlternateContent>
  <xr:revisionPtr revIDLastSave="0" documentId="8_{972A4A2D-A7D8-46C7-9AD3-579BB52960AA}" xr6:coauthVersionLast="47" xr6:coauthVersionMax="47" xr10:uidLastSave="{00000000-0000-0000-0000-000000000000}"/>
  <bookViews>
    <workbookView xWindow="4540" yWindow="1950" windowWidth="19200" windowHeight="9970" xr2:uid="{EFED3569-8A14-4DE4-96F6-731ED12D3F2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0" i="1" l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6" i="1"/>
  <c r="H7" i="1"/>
  <c r="H8" i="1"/>
  <c r="H9" i="1"/>
  <c r="H5" i="1"/>
  <c r="E6" i="1"/>
  <c r="G6" i="1" s="1"/>
  <c r="F6" i="1"/>
  <c r="G5" i="1"/>
  <c r="F5" i="1"/>
  <c r="E5" i="1"/>
  <c r="E7" i="1" l="1"/>
  <c r="F7" i="1"/>
  <c r="G7" i="1"/>
  <c r="E8" i="1" l="1"/>
  <c r="F8" i="1"/>
  <c r="G8" i="1"/>
  <c r="E9" i="1" l="1"/>
  <c r="F9" i="1"/>
  <c r="G9" i="1" s="1"/>
  <c r="F10" i="1" l="1"/>
  <c r="E10" i="1"/>
  <c r="G10" i="1"/>
  <c r="F11" i="1" l="1"/>
  <c r="E11" i="1"/>
  <c r="G11" i="1" s="1"/>
  <c r="E12" i="1" l="1"/>
  <c r="F12" i="1"/>
  <c r="G12" i="1"/>
  <c r="E13" i="1" l="1"/>
  <c r="G13" i="1" s="1"/>
  <c r="F13" i="1"/>
  <c r="E14" i="1" l="1"/>
  <c r="G14" i="1" s="1"/>
  <c r="F14" i="1"/>
  <c r="E15" i="1" l="1"/>
  <c r="G15" i="1" s="1"/>
  <c r="F15" i="1"/>
  <c r="E16" i="1" l="1"/>
  <c r="G16" i="1" s="1"/>
  <c r="F16" i="1"/>
  <c r="E17" i="1" l="1"/>
  <c r="F17" i="1"/>
  <c r="G17" i="1"/>
  <c r="E18" i="1" l="1"/>
  <c r="F18" i="1"/>
  <c r="G18" i="1"/>
  <c r="F19" i="1" l="1"/>
  <c r="E19" i="1"/>
  <c r="G19" i="1" s="1"/>
  <c r="F20" i="1" l="1"/>
  <c r="E20" i="1"/>
  <c r="G20" i="1" s="1"/>
  <c r="F21" i="1" l="1"/>
  <c r="E21" i="1"/>
  <c r="G21" i="1" s="1"/>
  <c r="E22" i="1" l="1"/>
  <c r="F22" i="1"/>
  <c r="G22" i="1" s="1"/>
  <c r="E23" i="1" l="1"/>
  <c r="F23" i="1"/>
  <c r="G23" i="1"/>
  <c r="F24" i="1" l="1"/>
  <c r="E24" i="1"/>
  <c r="G24" i="1" s="1"/>
  <c r="F25" i="1" l="1"/>
  <c r="E25" i="1"/>
  <c r="G25" i="1" s="1"/>
</calcChain>
</file>

<file path=xl/sharedStrings.xml><?xml version="1.0" encoding="utf-8"?>
<sst xmlns="http://schemas.openxmlformats.org/spreadsheetml/2006/main" count="4" uniqueCount="4">
  <si>
    <t>死亡人口</t>
    <phoneticPr fontId="1" type="noConversion"/>
  </si>
  <si>
    <t>新生人口</t>
    <phoneticPr fontId="1" type="noConversion"/>
  </si>
  <si>
    <t>人口</t>
    <phoneticPr fontId="1" type="noConversion"/>
  </si>
  <si>
    <t>各年累计出生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</si>
</sst>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0.00000"/>
  </numFmts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2" borderId="0" xfId="0" applyFill="1">
      <alignment vertical="center"/>
    </xf>
    <xf numFmtId="177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36167-44D2-4A07-A99F-916996548C0E}">
  <dimension ref="D3:H25"/>
  <sheetViews>
    <sheetView tabSelected="1" zoomScale="115" zoomScaleNormal="115" workbookViewId="0">
      <selection activeCell="H8" sqref="H8"/>
    </sheetView>
  </sheetViews>
  <sheetFormatPr defaultRowHeight="14" x14ac:dyDescent="0.3"/>
  <cols>
    <col min="5" max="5" width="9.58203125" bestFit="1" customWidth="1"/>
  </cols>
  <sheetData>
    <row r="3" spans="4:8" x14ac:dyDescent="0.3">
      <c r="E3" t="s">
        <v>1</v>
      </c>
      <c r="F3" t="s">
        <v>0</v>
      </c>
      <c r="G3" t="s">
        <v>2</v>
      </c>
      <c r="H3" t="s">
        <v>3</v>
      </c>
    </row>
    <row r="4" spans="4:8" x14ac:dyDescent="0.3">
      <c r="D4" s="1">
        <v>2019</v>
      </c>
      <c r="G4">
        <v>540</v>
      </c>
    </row>
    <row r="5" spans="4:8" x14ac:dyDescent="0.3">
      <c r="D5" s="1">
        <v>2020</v>
      </c>
      <c r="E5">
        <f>G4*3%</f>
        <v>16.2</v>
      </c>
      <c r="F5">
        <f>G4*1%</f>
        <v>5.4</v>
      </c>
      <c r="G5">
        <f>G4+E5-F5</f>
        <v>550.80000000000007</v>
      </c>
      <c r="H5">
        <f>SUM($E$5:E5)</f>
        <v>16.2</v>
      </c>
    </row>
    <row r="6" spans="4:8" x14ac:dyDescent="0.3">
      <c r="D6" s="1">
        <v>2021</v>
      </c>
      <c r="E6">
        <f t="shared" ref="E6:E25" si="0">G5*3%</f>
        <v>16.524000000000001</v>
      </c>
      <c r="F6">
        <f t="shared" ref="F6:F25" si="1">G5*1%</f>
        <v>5.5080000000000009</v>
      </c>
      <c r="G6">
        <f t="shared" ref="G6:G25" si="2">G5+E6-F6</f>
        <v>561.81600000000003</v>
      </c>
      <c r="H6">
        <f>SUM($E$5:E6)</f>
        <v>32.724000000000004</v>
      </c>
    </row>
    <row r="7" spans="4:8" x14ac:dyDescent="0.3">
      <c r="D7" s="1">
        <v>2022</v>
      </c>
      <c r="E7" s="2">
        <f t="shared" si="0"/>
        <v>16.854479999999999</v>
      </c>
      <c r="F7">
        <f t="shared" si="1"/>
        <v>5.6181600000000005</v>
      </c>
      <c r="G7">
        <f t="shared" si="2"/>
        <v>573.05232000000001</v>
      </c>
      <c r="H7">
        <f>SUM($E$5:E7)</f>
        <v>49.578479999999999</v>
      </c>
    </row>
    <row r="8" spans="4:8" x14ac:dyDescent="0.3">
      <c r="D8" s="1">
        <v>2023</v>
      </c>
      <c r="E8">
        <f t="shared" si="0"/>
        <v>17.191569600000001</v>
      </c>
      <c r="F8">
        <f t="shared" si="1"/>
        <v>5.7305232000000004</v>
      </c>
      <c r="G8">
        <f t="shared" si="2"/>
        <v>584.5133664</v>
      </c>
      <c r="H8">
        <f>SUM($E$5:E8)</f>
        <v>66.770049599999993</v>
      </c>
    </row>
    <row r="9" spans="4:8" x14ac:dyDescent="0.3">
      <c r="D9" s="1">
        <v>2024</v>
      </c>
      <c r="E9">
        <f t="shared" si="0"/>
        <v>17.535400992</v>
      </c>
      <c r="F9">
        <f t="shared" si="1"/>
        <v>5.8451336640000005</v>
      </c>
      <c r="G9">
        <f t="shared" si="2"/>
        <v>596.203633728</v>
      </c>
      <c r="H9">
        <f>SUM($E$5:E9)</f>
        <v>84.305450592</v>
      </c>
    </row>
    <row r="10" spans="4:8" x14ac:dyDescent="0.3">
      <c r="D10" s="1">
        <v>2025</v>
      </c>
      <c r="E10">
        <f t="shared" si="0"/>
        <v>17.886109011839999</v>
      </c>
      <c r="F10">
        <f t="shared" si="1"/>
        <v>5.9620363372799998</v>
      </c>
      <c r="G10">
        <f t="shared" si="2"/>
        <v>608.12770640255997</v>
      </c>
      <c r="H10">
        <f>SUM($E$5:E10)</f>
        <v>102.19155960384001</v>
      </c>
    </row>
    <row r="11" spans="4:8" x14ac:dyDescent="0.3">
      <c r="D11" s="1">
        <v>2026</v>
      </c>
      <c r="E11">
        <f t="shared" si="0"/>
        <v>18.243831192076797</v>
      </c>
      <c r="F11">
        <f t="shared" si="1"/>
        <v>6.0812770640256</v>
      </c>
      <c r="G11">
        <f t="shared" si="2"/>
        <v>620.29026053061114</v>
      </c>
      <c r="H11">
        <f>SUM($E$5:E11)</f>
        <v>120.4353907959168</v>
      </c>
    </row>
    <row r="12" spans="4:8" x14ac:dyDescent="0.3">
      <c r="D12" s="1">
        <v>2027</v>
      </c>
      <c r="E12">
        <f t="shared" si="0"/>
        <v>18.608707815918333</v>
      </c>
      <c r="F12">
        <f t="shared" si="1"/>
        <v>6.2029026053061118</v>
      </c>
      <c r="G12">
        <f t="shared" si="2"/>
        <v>632.69606574122338</v>
      </c>
      <c r="H12">
        <f>SUM($E$5:E12)</f>
        <v>139.04409861183512</v>
      </c>
    </row>
    <row r="13" spans="4:8" x14ac:dyDescent="0.3">
      <c r="D13" s="1">
        <v>2028</v>
      </c>
      <c r="E13">
        <f t="shared" si="0"/>
        <v>18.980881972236702</v>
      </c>
      <c r="F13">
        <f t="shared" si="1"/>
        <v>6.3269606574122337</v>
      </c>
      <c r="G13">
        <f t="shared" si="2"/>
        <v>645.34998705604789</v>
      </c>
      <c r="H13">
        <f>SUM($E$5:E13)</f>
        <v>158.02498058407184</v>
      </c>
    </row>
    <row r="14" spans="4:8" x14ac:dyDescent="0.3">
      <c r="D14" s="1">
        <v>2029</v>
      </c>
      <c r="E14">
        <f t="shared" si="0"/>
        <v>19.360499611681437</v>
      </c>
      <c r="F14">
        <f t="shared" si="1"/>
        <v>6.4534998705604787</v>
      </c>
      <c r="G14">
        <f t="shared" si="2"/>
        <v>658.25698679716891</v>
      </c>
      <c r="H14">
        <f>SUM($E$5:E14)</f>
        <v>177.38548019575327</v>
      </c>
    </row>
    <row r="15" spans="4:8" x14ac:dyDescent="0.3">
      <c r="D15" s="1">
        <v>2030</v>
      </c>
      <c r="E15">
        <f t="shared" si="0"/>
        <v>19.747709603915066</v>
      </c>
      <c r="F15">
        <f t="shared" si="1"/>
        <v>6.5825698679716895</v>
      </c>
      <c r="G15">
        <f t="shared" si="2"/>
        <v>671.4221265331123</v>
      </c>
      <c r="H15">
        <f>SUM($E$5:E15)</f>
        <v>197.13318979966834</v>
      </c>
    </row>
    <row r="16" spans="4:8" x14ac:dyDescent="0.3">
      <c r="D16" s="1">
        <v>2031</v>
      </c>
      <c r="E16">
        <f t="shared" si="0"/>
        <v>20.142663795993368</v>
      </c>
      <c r="F16">
        <f t="shared" si="1"/>
        <v>6.7142212653311235</v>
      </c>
      <c r="G16">
        <f t="shared" si="2"/>
        <v>684.85056906377451</v>
      </c>
      <c r="H16">
        <f>SUM($E$5:E16)</f>
        <v>217.27585359566172</v>
      </c>
    </row>
    <row r="17" spans="4:8" x14ac:dyDescent="0.3">
      <c r="D17" s="1">
        <v>2032</v>
      </c>
      <c r="E17">
        <f t="shared" si="0"/>
        <v>20.545517071913235</v>
      </c>
      <c r="F17">
        <f t="shared" si="1"/>
        <v>6.8485056906377455</v>
      </c>
      <c r="G17">
        <f t="shared" si="2"/>
        <v>698.54758044505002</v>
      </c>
      <c r="H17">
        <f>SUM($E$5:E17)</f>
        <v>237.82137066757494</v>
      </c>
    </row>
    <row r="18" spans="4:8" x14ac:dyDescent="0.3">
      <c r="D18" s="1">
        <v>2033</v>
      </c>
      <c r="E18">
        <f t="shared" si="0"/>
        <v>20.956427413351499</v>
      </c>
      <c r="F18">
        <f t="shared" si="1"/>
        <v>6.9854758044505001</v>
      </c>
      <c r="G18">
        <f t="shared" si="2"/>
        <v>712.51853205395105</v>
      </c>
      <c r="H18">
        <f>SUM($E$5:E18)</f>
        <v>258.77779808092646</v>
      </c>
    </row>
    <row r="19" spans="4:8" x14ac:dyDescent="0.3">
      <c r="D19" s="1">
        <v>2034</v>
      </c>
      <c r="E19">
        <f t="shared" si="0"/>
        <v>21.375555961618531</v>
      </c>
      <c r="F19">
        <f t="shared" si="1"/>
        <v>7.1251853205395106</v>
      </c>
      <c r="G19">
        <f t="shared" si="2"/>
        <v>726.76890269503008</v>
      </c>
      <c r="H19">
        <f>SUM($E$5:E19)</f>
        <v>280.153354042545</v>
      </c>
    </row>
    <row r="20" spans="4:8" x14ac:dyDescent="0.3">
      <c r="D20" s="1">
        <v>2035</v>
      </c>
      <c r="E20">
        <f t="shared" si="0"/>
        <v>21.803067080850902</v>
      </c>
      <c r="F20">
        <f t="shared" si="1"/>
        <v>7.2676890269503005</v>
      </c>
      <c r="G20">
        <f t="shared" si="2"/>
        <v>741.30428074893075</v>
      </c>
      <c r="H20">
        <f>SUM($E$5:E20)</f>
        <v>301.9564211233959</v>
      </c>
    </row>
    <row r="21" spans="4:8" x14ac:dyDescent="0.3">
      <c r="D21" s="1">
        <v>2036</v>
      </c>
      <c r="E21">
        <f t="shared" si="0"/>
        <v>22.239128422467921</v>
      </c>
      <c r="F21">
        <f t="shared" si="1"/>
        <v>7.4130428074893073</v>
      </c>
      <c r="G21">
        <f t="shared" si="2"/>
        <v>756.13036636390939</v>
      </c>
      <c r="H21">
        <f>SUM($E$5:E21)</f>
        <v>324.1955495458638</v>
      </c>
    </row>
    <row r="22" spans="4:8" x14ac:dyDescent="0.3">
      <c r="D22" s="1">
        <v>2037</v>
      </c>
      <c r="E22">
        <f t="shared" si="0"/>
        <v>22.68391099091728</v>
      </c>
      <c r="F22">
        <f t="shared" si="1"/>
        <v>7.5613036636390945</v>
      </c>
      <c r="G22">
        <f t="shared" si="2"/>
        <v>771.25297369118755</v>
      </c>
      <c r="H22">
        <f>SUM($E$5:E22)</f>
        <v>346.8794605367811</v>
      </c>
    </row>
    <row r="23" spans="4:8" x14ac:dyDescent="0.3">
      <c r="D23" s="1">
        <v>2038</v>
      </c>
      <c r="E23">
        <f t="shared" si="0"/>
        <v>23.137589210735626</v>
      </c>
      <c r="F23">
        <f t="shared" si="1"/>
        <v>7.7125297369118755</v>
      </c>
      <c r="G23">
        <f t="shared" si="2"/>
        <v>786.67803316501136</v>
      </c>
      <c r="H23">
        <f>SUM($E$5:E23)</f>
        <v>370.01704974751669</v>
      </c>
    </row>
    <row r="24" spans="4:8" x14ac:dyDescent="0.3">
      <c r="D24" s="1">
        <v>2039</v>
      </c>
      <c r="E24">
        <f t="shared" si="0"/>
        <v>23.60034099495034</v>
      </c>
      <c r="F24">
        <f t="shared" si="1"/>
        <v>7.8667803316501139</v>
      </c>
      <c r="G24">
        <f t="shared" si="2"/>
        <v>802.41159382831154</v>
      </c>
      <c r="H24">
        <f>SUM($E$5:E24)</f>
        <v>393.61739074246702</v>
      </c>
    </row>
    <row r="25" spans="4:8" x14ac:dyDescent="0.3">
      <c r="D25" s="1">
        <v>2040</v>
      </c>
      <c r="E25">
        <f t="shared" si="0"/>
        <v>24.072347814849344</v>
      </c>
      <c r="F25">
        <f t="shared" si="1"/>
        <v>8.0241159382831153</v>
      </c>
      <c r="G25">
        <f t="shared" si="2"/>
        <v>818.45982570487774</v>
      </c>
      <c r="H25">
        <f>SUM($E$5:E25)</f>
        <v>417.68973855731639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泽辉</dc:creator>
  <cp:lastModifiedBy>泽辉</cp:lastModifiedBy>
  <dcterms:created xsi:type="dcterms:W3CDTF">2024-03-22T14:43:41Z</dcterms:created>
  <dcterms:modified xsi:type="dcterms:W3CDTF">2024-03-22T14:56:40Z</dcterms:modified>
</cp:coreProperties>
</file>